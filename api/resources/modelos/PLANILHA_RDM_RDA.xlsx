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EÇALHO" sheetId="1" r:id="rId4"/>
    <sheet state="visible" name="NORMAS" sheetId="2" r:id="rId5"/>
    <sheet state="visible" name="BANCO DE DADOS" sheetId="3" r:id="rId6"/>
    <sheet state="visible" name="R.D.M." sheetId="4" r:id="rId7"/>
    <sheet state="visible" name="R.D.A" sheetId="5" r:id="rId8"/>
  </sheets>
  <definedNames>
    <definedName hidden="1" localSheetId="2" name="_xlnm._FilterDatabase">'BANCO DE DADOS'!$B$14:$C$27</definedName>
    <definedName hidden="1" localSheetId="3" name="_xlnm._FilterDatabase">R.D.M.!$B$4:$J$38</definedName>
    <definedName hidden="1" localSheetId="4" name="_xlnm._FilterDatabase">R.D.A!$B$5:$G$20</definedName>
  </definedNames>
  <calcPr/>
  <extLst>
    <ext uri="GoogleSheetsCustomDataVersion2">
      <go:sheetsCustomData xmlns:go="http://customooxmlschemas.google.com/" r:id="rId9" roundtripDataChecksum="gwB6j7lkFbzQH/54UY3gW59Ra1sDy+D3G83rGSH9y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======
ID#AAABV-s2QDM
usuario1    (2024-09-26 22:37:12)
CNPJ REFERENTE A EMPRESA QUE EMITIU A NOTA</t>
      </text>
    </comment>
    <comment authorId="0" ref="C5">
      <text>
        <t xml:space="preserve">======
ID#AAABV-s2QDQ
usuario1    (2024-09-26 22:37:12)
CNPJ REFERENTE A EMPRESA QUE EMITIU A NOTA</t>
      </text>
    </comment>
  </commentList>
  <extLst>
    <ext uri="GoogleSheetsCustomDataVersion2">
      <go:sheetsCustomData xmlns:go="http://customooxmlschemas.google.com/" r:id="rId1" roundtripDataSignature="AMtx7mjP01TNLVxGKbMbqoudwf4mxfP0Rw=="/>
    </ext>
  </extLst>
</comments>
</file>

<file path=xl/sharedStrings.xml><?xml version="1.0" encoding="utf-8"?>
<sst xmlns="http://schemas.openxmlformats.org/spreadsheetml/2006/main" count="372" uniqueCount="150">
  <si>
    <t>PETERMANN &amp; MORAIS LTDA ME - CNPJ 17.117.768/0001-42</t>
  </si>
  <si>
    <t>Rua Natal Vasconcelos Montes, 185 - Sala 01. Centro.</t>
  </si>
  <si>
    <t>RELATÓRIO DE DESPESAS MENSAIS (R.D.M.)</t>
  </si>
  <si>
    <t>CEP.: 75.503-340</t>
  </si>
  <si>
    <t>Itumbiara, Goiás</t>
  </si>
  <si>
    <t>DESPESAS CORPORATIVAS | PETERMANN &amp; MORAIS LTDA</t>
  </si>
  <si>
    <t xml:space="preserve">EXERCÍCIO DE </t>
  </si>
  <si>
    <t>FUNCIONÁRIO:</t>
  </si>
  <si>
    <t>Cleiton Queiroz</t>
  </si>
  <si>
    <t>TOTAL DE GASTO ACUMULADO</t>
  </si>
  <si>
    <t>SAFRA:</t>
  </si>
  <si>
    <t>25/26</t>
  </si>
  <si>
    <t>ANO DO EXERCÍCIO:</t>
  </si>
  <si>
    <t>Meses</t>
  </si>
  <si>
    <t>Janeiro</t>
  </si>
  <si>
    <t>Fevereiro</t>
  </si>
  <si>
    <r>
      <rPr>
        <rFont val="Century Gothic"/>
        <b/>
        <color rgb="FF00B050"/>
        <sz val="46.0"/>
      </rPr>
      <t>R</t>
    </r>
    <r>
      <rPr>
        <rFont val="Century Gothic"/>
        <color rgb="FF17365D"/>
        <sz val="46.0"/>
      </rPr>
      <t xml:space="preserve">ELATÓRIO DE </t>
    </r>
    <r>
      <rPr>
        <rFont val="Century Gothic"/>
        <b/>
        <color rgb="FF00B050"/>
        <sz val="46.0"/>
      </rPr>
      <t>D</t>
    </r>
    <r>
      <rPr>
        <rFont val="Century Gothic"/>
        <color rgb="FF17365D"/>
        <sz val="46.0"/>
      </rPr>
      <t xml:space="preserve">ESPESAS </t>
    </r>
    <r>
      <rPr>
        <rFont val="Century Gothic"/>
        <b/>
        <color rgb="FF00B050"/>
        <sz val="46.0"/>
      </rPr>
      <t>M</t>
    </r>
    <r>
      <rPr>
        <rFont val="Century Gothic"/>
        <color rgb="FF17365D"/>
        <sz val="46.0"/>
      </rPr>
      <t xml:space="preserve">ENSAIS </t>
    </r>
    <r>
      <rPr>
        <rFont val="Century Gothic"/>
        <b/>
        <color rgb="FF17365D"/>
        <sz val="46.0"/>
      </rPr>
      <t>(</t>
    </r>
    <r>
      <rPr>
        <rFont val="Century Gothic"/>
        <b/>
        <color rgb="FF00B050"/>
        <sz val="46.0"/>
      </rPr>
      <t>RDM</t>
    </r>
    <r>
      <rPr>
        <rFont val="Century Gothic"/>
        <b/>
        <color rgb="FF17365D"/>
        <sz val="46.0"/>
      </rPr>
      <t>)</t>
    </r>
    <r>
      <rPr>
        <rFont val="Century Gothic"/>
        <color rgb="FF17365D"/>
        <sz val="46.0"/>
      </rPr>
      <t xml:space="preserve"> E </t>
    </r>
    <r>
      <rPr>
        <rFont val="Century Gothic"/>
        <b/>
        <color rgb="FFFFFF00"/>
        <sz val="46.0"/>
      </rPr>
      <t>R</t>
    </r>
    <r>
      <rPr>
        <rFont val="Century Gothic"/>
        <color rgb="FF17365D"/>
        <sz val="46.0"/>
      </rPr>
      <t xml:space="preserve">ELATÓRIO DE </t>
    </r>
    <r>
      <rPr>
        <rFont val="Century Gothic"/>
        <b/>
        <color rgb="FFFFFF00"/>
        <sz val="46.0"/>
      </rPr>
      <t>D</t>
    </r>
    <r>
      <rPr>
        <rFont val="Century Gothic"/>
        <color rgb="FF17365D"/>
        <sz val="46.0"/>
      </rPr>
      <t xml:space="preserve">ESPESAS COM </t>
    </r>
    <r>
      <rPr>
        <rFont val="Century Gothic"/>
        <b/>
        <color rgb="FFFFFF00"/>
        <sz val="46.0"/>
      </rPr>
      <t>A</t>
    </r>
    <r>
      <rPr>
        <rFont val="Century Gothic"/>
        <color rgb="FF17365D"/>
        <sz val="46.0"/>
      </rPr>
      <t xml:space="preserve">LIMENTAÇÕES </t>
    </r>
    <r>
      <rPr>
        <rFont val="Century Gothic"/>
        <b/>
        <color rgb="FF17365D"/>
        <sz val="46.0"/>
      </rPr>
      <t>(</t>
    </r>
    <r>
      <rPr>
        <rFont val="Century Gothic"/>
        <b/>
        <color rgb="FFFFFF00"/>
        <sz val="46.0"/>
      </rPr>
      <t>RDA</t>
    </r>
    <r>
      <rPr>
        <rFont val="Century Gothic"/>
        <b/>
        <color rgb="FF17365D"/>
        <sz val="46.0"/>
      </rPr>
      <t>)</t>
    </r>
    <r>
      <rPr>
        <rFont val="Century Gothic"/>
        <color rgb="FF17365D"/>
        <sz val="46.0"/>
      </rPr>
      <t>.</t>
    </r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</si>
  <si>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</si>
  <si>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</si>
  <si>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</si>
  <si>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</si>
  <si>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</si>
  <si>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</si>
  <si>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</si>
  <si>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</si>
  <si>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</si>
  <si>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</si>
  <si>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CUSTOS TOTAIS DE RDM RECEBIDO</t>
  </si>
  <si>
    <t>CUSTOS TOTAIS DE RDA RECEBIDO</t>
  </si>
  <si>
    <t>RDM</t>
  </si>
  <si>
    <t>TOTAL RECEBIDO</t>
  </si>
  <si>
    <t>SALDO</t>
  </si>
  <si>
    <t>ABASTECIMENTO</t>
  </si>
  <si>
    <t>HOSPEDAGENS</t>
  </si>
  <si>
    <t>Trimestres</t>
  </si>
  <si>
    <t>OUTROS (BORRACHARIA/OFICINA/EPI'S)</t>
  </si>
  <si>
    <t>DATA</t>
  </si>
  <si>
    <t>CNPJ DA NOTA</t>
  </si>
  <si>
    <t>R$</t>
  </si>
  <si>
    <t>JANEIRO</t>
  </si>
  <si>
    <t>TOTAL DE GASTO ACUMULADO DE RDM</t>
  </si>
  <si>
    <t>TOTAL DE GASTO ACUMULADO DE RDA</t>
  </si>
  <si>
    <t>RDA</t>
  </si>
  <si>
    <t>31.747832/0001-08</t>
  </si>
  <si>
    <t>41.724.044/0001-41</t>
  </si>
  <si>
    <t>62.037.020/0001-94</t>
  </si>
  <si>
    <t>50.779.798/0001-90</t>
  </si>
  <si>
    <t>46.379.964/0001-93</t>
  </si>
  <si>
    <t>40.579.530/0001-79</t>
  </si>
  <si>
    <t>SALDO DE RDM RECEBIDO</t>
  </si>
  <si>
    <t>SALDO DE RDA RECEBIDO</t>
  </si>
  <si>
    <t>TOTAL/TRIM</t>
  </si>
  <si>
    <t>TOTAL GERAL</t>
  </si>
  <si>
    <t>Inserir COM ATENÇÃO abaixo, todo o valor repassado para as despesas mensais!</t>
  </si>
  <si>
    <t>Inserir COM ATENÇÃO abaixo, todo o valor repassado para as despesas de aimentação!</t>
  </si>
  <si>
    <t>EXTRATO DE RDM RECEBIDO</t>
  </si>
  <si>
    <t>EXTRATO DE RDA RECEBIDO</t>
  </si>
  <si>
    <t>TOTAL DE GASTOS</t>
  </si>
  <si>
    <t>FEVEREIRO</t>
  </si>
  <si>
    <t>18.645.018/0001-06</t>
  </si>
  <si>
    <t>01.138.122/0001-01</t>
  </si>
  <si>
    <t>TOTAL</t>
  </si>
  <si>
    <t>RECIBO</t>
  </si>
  <si>
    <t>21.938.486/0001-83</t>
  </si>
  <si>
    <t>01.330.605/0001-03</t>
  </si>
  <si>
    <t>65.132.211/0001-23</t>
  </si>
  <si>
    <t>18.645.018/0001-03</t>
  </si>
  <si>
    <t>CONSUMIDO</t>
  </si>
  <si>
    <t>13.615.307/0001-49</t>
  </si>
  <si>
    <t>29.275.106/0001-80</t>
  </si>
  <si>
    <t>MARÇO</t>
  </si>
  <si>
    <t>35.856.131/0001-50</t>
  </si>
  <si>
    <t>03.747.723/0001-47</t>
  </si>
  <si>
    <t xml:space="preserve">pagamento via Pix serviço de limpeza do quintal </t>
  </si>
  <si>
    <t>31.74940/00001-65</t>
  </si>
  <si>
    <t>07.760.547/0001-34</t>
  </si>
  <si>
    <t xml:space="preserve">recibo </t>
  </si>
  <si>
    <t>37.219.093/0001-50</t>
  </si>
  <si>
    <t>05.705.338/0001-62</t>
  </si>
  <si>
    <t>54.738.731/0001-68</t>
  </si>
  <si>
    <t>ABRIL</t>
  </si>
  <si>
    <t>42.057.303/0001-90</t>
  </si>
  <si>
    <t>00.487.954/0001-42</t>
  </si>
  <si>
    <t>39.363.721/0001-00</t>
  </si>
  <si>
    <t>17.457.404/0007-05</t>
  </si>
  <si>
    <t>MAIO</t>
  </si>
  <si>
    <t>39.300.487/0001-63</t>
  </si>
  <si>
    <t xml:space="preserve">RECIBO MÃO DE OBRA </t>
  </si>
  <si>
    <t>00.487.954/0002-51</t>
  </si>
  <si>
    <t>JUNHO</t>
  </si>
  <si>
    <t>60.170.429/0001-59</t>
  </si>
  <si>
    <t>JULHO</t>
  </si>
  <si>
    <t>01.582.003/0001-43</t>
  </si>
  <si>
    <t>21.025.463/0001-88</t>
  </si>
  <si>
    <t>37.502.207/0001-7</t>
  </si>
  <si>
    <t>AGOSTO</t>
  </si>
  <si>
    <t>62.796.859/0001-20</t>
  </si>
  <si>
    <t>31.070.532/0001-29</t>
  </si>
  <si>
    <t>55.592.017/0001-42</t>
  </si>
  <si>
    <t>45.318.451/0001-00</t>
  </si>
  <si>
    <t>07.363.173/0001-13</t>
  </si>
  <si>
    <t>62.769.859/0001-20</t>
  </si>
  <si>
    <t>05.394.464./0001-43</t>
  </si>
  <si>
    <t>02.512.414/0006-30</t>
  </si>
  <si>
    <t>SETEMBRO</t>
  </si>
  <si>
    <t>60.170429/0001-59</t>
  </si>
  <si>
    <t>35.257918/0001-03</t>
  </si>
  <si>
    <t>26.122.146/0001-01</t>
  </si>
  <si>
    <t>29.835.123/0001-24</t>
  </si>
  <si>
    <t>31.747.832/0001-08</t>
  </si>
  <si>
    <t>00.217.693/000186</t>
  </si>
  <si>
    <t>OUTUBRO</t>
  </si>
  <si>
    <t>NOVEMBRO</t>
  </si>
  <si>
    <t>RELATÓRIO DE DESPESAS COM ALIMENTAÇÕES (R.D.A.)</t>
  </si>
  <si>
    <t>CNPJ</t>
  </si>
  <si>
    <t>DEZEMBRO</t>
  </si>
  <si>
    <t>05.764.979/0001-98</t>
  </si>
  <si>
    <t>Data</t>
  </si>
  <si>
    <t>Valor Total (R$)</t>
  </si>
  <si>
    <t>05.754.979/0001-98</t>
  </si>
  <si>
    <t>21/03/2026</t>
  </si>
  <si>
    <t>23/03/2026</t>
  </si>
  <si>
    <t>03/05/2026</t>
  </si>
  <si>
    <t>04/05/2026</t>
  </si>
  <si>
    <t>05/05/2026</t>
  </si>
  <si>
    <t>06.916.184/0001-10</t>
  </si>
  <si>
    <t>29.825997/0001-09</t>
  </si>
  <si>
    <t>07.853.241/0001-22</t>
  </si>
  <si>
    <t>13.140.804/0001-38</t>
  </si>
  <si>
    <t>15.862.471/0001-86</t>
  </si>
  <si>
    <t>36.055.444/0001-71</t>
  </si>
  <si>
    <t>08.450.503/0001-70</t>
  </si>
  <si>
    <t>17.203.905/000116</t>
  </si>
  <si>
    <t>03.200.781/0001-56</t>
  </si>
  <si>
    <t>64.773.376/0001-11</t>
  </si>
  <si>
    <t>23.803.681/0001-21</t>
  </si>
  <si>
    <t>53.610.946/0001-36</t>
  </si>
  <si>
    <t>40.960.227/0001-01</t>
  </si>
  <si>
    <t>62.245.388/0001-48</t>
  </si>
  <si>
    <t>67.164.032/0001-01</t>
  </si>
  <si>
    <t>46.241.291/0001-00</t>
  </si>
  <si>
    <t>47.015.744/0001-43</t>
  </si>
  <si>
    <t>10.754.995/0001-30</t>
  </si>
  <si>
    <t>26.525.757/0001-92</t>
  </si>
  <si>
    <t>36.649.588/0001-56</t>
  </si>
  <si>
    <t>17.203.950/0001-16</t>
  </si>
  <si>
    <t>55.859.156/0001-14</t>
  </si>
  <si>
    <t>36.765.811/0001-20</t>
  </si>
  <si>
    <t>01.334.260/0001-66</t>
  </si>
  <si>
    <t>20.758.851/0057-60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</si>
</sst>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R$&quot;\ #,##0.00"/>
    <numFmt numFmtId="165" formatCode="_-&quot;R$&quot;\ * #,##0.00_-;\-&quot;R$&quot;\ * #,##0.00_-;_-&quot;R$&quot;\ * &quot;-&quot;??_-;_-@"/>
    <numFmt numFmtId="166" formatCode="[$-416]d\-mmm"/>
    <numFmt numFmtId="167" formatCode="00,000,000,000,0\-00"/>
    <numFmt numFmtId="168" formatCode="dd-mm"/>
    <numFmt numFmtId="169" formatCode="[$-416]d\-mmm\-yy"/>
    <numFmt numFmtId="170" formatCode="dd/MM/yyyy"/>
    <numFmt numFmtId="171" formatCode="dd/mm/yy"/>
    <numFmt numFmtId="172" formatCode="[$-416]dd\-mmm\-yy"/>
    <numFmt numFmtId="173" formatCode="dd/mm/yyyy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F243E"/>
      <name val="Century Gothic"/>
    </font>
    <font>
      <b/>
      <sz val="12.0"/>
      <color rgb="FFFF0000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6.0"/>
      <color theme="0"/>
      <name val="Calibri"/>
    </font>
    <font>
      <b/>
      <sz val="14.0"/>
      <color rgb="FF205867"/>
      <name val="Calibri"/>
    </font>
    <font>
      <b/>
      <sz val="11.0"/>
      <color rgb="FF17365D"/>
      <name val="Century Gothic"/>
    </font>
    <font>
      <b/>
      <sz val="11.0"/>
      <color rgb="FFFF0000"/>
      <name val="Century Gothic"/>
    </font>
    <font>
      <b/>
      <sz val="11.0"/>
      <color rgb="FF244061"/>
      <name val="Calibri"/>
    </font>
    <font>
      <b/>
      <sz val="11.0"/>
      <color rgb="FFFF0000"/>
      <name val="Calibri"/>
    </font>
    <font>
      <sz val="46.0"/>
      <color rgb="FF17365D"/>
      <name val="Century Gothic"/>
    </font>
    <font>
      <b/>
      <sz val="11.0"/>
      <color theme="0"/>
      <name val="Calibri"/>
    </font>
    <font>
      <b/>
      <sz val="20.0"/>
      <color theme="0"/>
      <name val="Calibri"/>
    </font>
    <font>
      <sz val="72.0"/>
      <color rgb="FFFF0000"/>
      <name val="Calibri"/>
    </font>
    <font>
      <color theme="1"/>
      <name val="Calibri"/>
      <scheme val="minor"/>
    </font>
    <font>
      <b/>
      <i/>
      <sz val="11.0"/>
      <color rgb="FFFF0000"/>
      <name val="Calibri"/>
    </font>
    <font>
      <b/>
      <sz val="16.0"/>
      <color rgb="FFFF0000"/>
      <name val="Calibri"/>
    </font>
    <font>
      <sz val="12.0"/>
      <color theme="1"/>
      <name val="Calibri"/>
    </font>
    <font>
      <color theme="1"/>
      <name val="Arial"/>
    </font>
    <font>
      <b/>
      <sz val="19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C4BD97"/>
        <bgColor rgb="FFC4BD97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E36C09"/>
        <bgColor rgb="FFE36C09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EEECE1"/>
        <bgColor rgb="FFEEECE1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</fills>
  <borders count="140">
    <border/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theme="1"/>
      </right>
    </border>
    <border>
      <left/>
      <right style="medium">
        <color rgb="FF000000"/>
      </right>
      <top/>
      <bottom/>
    </border>
    <border>
      <left style="medium">
        <color theme="1"/>
      </left>
      <top style="medium">
        <color theme="1"/>
      </top>
      <bottom style="medium">
        <color rgb="FF000000"/>
      </bottom>
    </border>
    <border>
      <top style="medium">
        <color theme="1"/>
      </top>
      <bottom style="medium">
        <color rgb="FF000000"/>
      </bottom>
    </border>
    <border>
      <right/>
      <top style="medium">
        <color theme="1"/>
      </top>
      <bottom style="medium">
        <color rgb="FF000000"/>
      </bottom>
    </border>
    <border>
      <left/>
      <top style="medium">
        <color theme="1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/>
      <right style="medium">
        <color theme="1"/>
      </right>
      <top style="medium">
        <color theme="1"/>
      </top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thin">
        <color rgb="FF000000"/>
      </top>
      <bottom style="medium">
        <color rgb="FF000000"/>
      </bottom>
    </border>
    <border>
      <top style="medium">
        <color rgb="FF000000"/>
      </top>
      <bottom/>
    </border>
    <border>
      <left style="medium">
        <color theme="1"/>
      </left>
      <top style="medium">
        <color rgb="FF000000"/>
      </top>
      <bottom style="medium">
        <color theme="0"/>
      </bottom>
    </border>
    <border>
      <right/>
      <top style="medium">
        <color rgb="FF000000"/>
      </top>
      <bottom style="medium">
        <color theme="0"/>
      </bottom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 style="hair">
        <color rgb="FF000000"/>
      </bottom>
    </border>
    <border>
      <left/>
      <right/>
      <top style="medium">
        <color rgb="FF000000"/>
      </top>
      <bottom style="medium">
        <color theme="0"/>
      </bottom>
    </border>
    <border>
      <left/>
      <top style="medium">
        <color rgb="FF000000"/>
      </top>
      <bottom style="medium">
        <color theme="0"/>
      </bottom>
    </border>
    <border>
      <left/>
      <right style="medium">
        <color theme="1"/>
      </right>
      <top/>
      <bottom/>
    </border>
    <border>
      <left style="medium">
        <color theme="1"/>
      </left>
      <top style="medium">
        <color theme="0"/>
      </top>
      <bottom style="thin">
        <color theme="0"/>
      </bottom>
    </border>
    <border>
      <top style="medium">
        <color theme="0"/>
      </top>
      <bottom style="thin">
        <color theme="0"/>
      </bottom>
    </border>
    <border>
      <right style="medium">
        <color theme="0"/>
      </right>
      <top style="medium">
        <color theme="0"/>
      </top>
      <bottom style="thin">
        <color theme="0"/>
      </bottom>
    </border>
    <border>
      <left/>
      <right/>
      <top style="hair">
        <color rgb="FF000000"/>
      </top>
      <bottom style="hair">
        <color rgb="FF000000"/>
      </bottom>
    </border>
    <border>
      <left style="medium">
        <color theme="0"/>
      </left>
      <top style="medium">
        <color theme="0"/>
      </top>
      <bottom style="thin">
        <color theme="0"/>
      </bottom>
    </border>
    <border>
      <right style="medium">
        <color theme="1"/>
      </right>
      <top style="medium">
        <color theme="0"/>
      </top>
      <bottom style="thin">
        <color theme="0"/>
      </bottom>
    </border>
    <border>
      <lef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right style="medium">
        <color theme="1"/>
      </right>
      <bottom style="medium">
        <color theme="1"/>
      </bottom>
    </border>
    <border>
      <left style="medium">
        <color theme="1"/>
      </left>
      <right/>
      <top/>
      <bottom/>
    </border>
    <border>
      <left style="thin">
        <color theme="0"/>
      </left>
      <right/>
      <top style="thin">
        <color theme="0"/>
      </top>
      <bottom/>
    </border>
    <border>
      <left style="thin">
        <color theme="0"/>
      </left>
      <right style="medium">
        <color theme="0"/>
      </right>
      <top style="thin">
        <color theme="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theme="0"/>
      </left>
      <right/>
      <top/>
      <bottom/>
    </border>
    <border>
      <right style="medium">
        <color rgb="FF000000"/>
      </right>
      <bottom style="medium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theme="1"/>
      </right>
      <top style="thin">
        <color theme="0"/>
      </top>
      <bottom/>
    </border>
    <border>
      <left style="medium">
        <color theme="1"/>
      </left>
      <top/>
      <bottom style="medium">
        <color theme="1"/>
      </bottom>
    </border>
    <border>
      <top/>
      <bottom style="medium">
        <color theme="1"/>
      </bottom>
    </border>
    <border>
      <right/>
      <top/>
      <bottom style="medium">
        <color theme="1"/>
      </bottom>
    </border>
    <border>
      <left style="medium">
        <color theme="1"/>
      </left>
      <right style="medium">
        <color theme="1"/>
      </right>
      <top style="medium">
        <color theme="1"/>
      </top>
      <bottom/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theme="1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theme="1"/>
      </top>
      <bottom style="thin">
        <color rgb="FF000000"/>
      </bottom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rgb="FF000000"/>
      </bottom>
    </border>
    <border>
      <left style="medium">
        <color theme="1"/>
      </left>
      <right style="medium">
        <color theme="1"/>
      </right>
      <top/>
      <bottom/>
    </border>
    <border>
      <left style="medium">
        <color theme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left/>
      <right/>
      <top style="hair">
        <color rgb="FF000000"/>
      </top>
      <bottom style="double">
        <color rgb="FF000000"/>
      </bottom>
    </border>
    <border>
      <left/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/>
      <top style="hair">
        <color rgb="FF000000"/>
      </top>
      <bottom style="double">
        <color rgb="FF000000"/>
      </bottom>
    </border>
    <border>
      <left/>
      <right/>
      <top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theme="1"/>
      </left>
      <right style="medium">
        <color theme="1"/>
      </right>
      <top/>
      <bottom style="medium">
        <color theme="1"/>
      </bottom>
    </border>
    <border>
      <left style="medium">
        <color theme="1"/>
      </left>
      <right style="thin">
        <color rgb="FF000000"/>
      </right>
      <top style="thin">
        <color rgb="FF000000"/>
      </top>
      <bottom style="medium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theme="1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theme="1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theme="1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top style="medium">
        <color theme="1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medium">
        <color theme="1"/>
      </top>
      <bottom/>
    </border>
    <border>
      <right/>
      <top style="medium">
        <color theme="1"/>
      </top>
      <bottom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bottom style="medium">
        <color theme="1"/>
      </bottom>
    </border>
    <border>
      <left style="medium">
        <color rgb="FF000000"/>
      </lef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theme="0"/>
      </left>
      <right/>
      <top style="thin">
        <color theme="0"/>
      </top>
    </border>
    <border>
      <right/>
      <top style="medium">
        <color rgb="FF000000"/>
      </top>
    </border>
    <border>
      <left/>
      <top style="medium">
        <color rgb="FF000000"/>
      </top>
    </border>
    <border>
      <left style="thin">
        <color theme="0"/>
      </left>
      <right/>
    </border>
    <border>
      <right/>
    </border>
    <border>
      <left/>
    </border>
    <border>
      <left style="thin">
        <color theme="0"/>
      </left>
      <right/>
      <bottom/>
    </border>
    <border>
      <right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theme="1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ill="1" applyFont="1">
      <alignment vertical="center"/>
    </xf>
    <xf borderId="2" fillId="3" fontId="1" numFmtId="0" xfId="0" applyBorder="1" applyFill="1" applyFont="1"/>
    <xf borderId="3" fillId="2" fontId="1" numFmtId="0" xfId="0" applyBorder="1" applyFill="1" applyFont="1"/>
    <xf borderId="2" fillId="4" fontId="1" numFmtId="0" xfId="0" applyAlignment="1" applyBorder="1" applyFill="1" applyFont="1">
      <alignment vertical="center"/>
    </xf>
    <xf borderId="3" fillId="2" fontId="2" numFmtId="0" xfId="0" applyBorder="1" applyFill="1" applyFont="1"/>
    <xf borderId="4" fillId="2" fontId="1" numFmtId="0" xfId="0" applyBorder="1" applyFill="1" applyFont="1"/>
    <xf borderId="2" fillId="2" fontId="1" numFmtId="0" xfId="0" applyBorder="1" applyFill="1" applyFont="1"/>
    <xf borderId="5" fillId="2" fontId="1" numFmtId="0" xfId="0" applyBorder="1" applyFill="1" applyFont="1"/>
    <xf borderId="6" fillId="0" fontId="3" numFmtId="0" xfId="0" applyAlignment="1" applyBorder="1" applyFont="1">
      <alignment horizontal="center" shrinkToFit="0" wrapText="1"/>
    </xf>
    <xf borderId="2" fillId="2" fontId="2" numFmtId="0" xfId="0" applyBorder="1" applyFill="1" applyFont="1"/>
    <xf borderId="7" fillId="2" fontId="1" numFmtId="0" xfId="0" applyBorder="1" applyFill="1" applyFont="1"/>
    <xf borderId="8" fillId="5" fontId="4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2" fillId="2" fontId="6" numFmtId="0" xfId="0" applyAlignment="1" applyBorder="1" applyFill="1" applyFont="1">
      <alignment horizontal="left" vertical="center"/>
    </xf>
    <xf borderId="11" fillId="5" fontId="7" numFmtId="0" xfId="0" applyAlignment="1" applyBorder="1" applyFill="1" applyFont="1">
      <alignment horizontal="left" vertical="center"/>
    </xf>
    <xf borderId="12" fillId="6" fontId="8" numFmtId="0" xfId="0" applyAlignment="1" applyBorder="1" applyFill="1" applyFont="1">
      <alignment horizontal="center"/>
    </xf>
    <xf borderId="13" fillId="0" fontId="5" numFmtId="0" xfId="0" applyBorder="1" applyFont="1"/>
    <xf borderId="14" fillId="5" fontId="7" numFmtId="0" xfId="0" applyAlignment="1" applyBorder="1" applyFill="1" applyFont="1">
      <alignment horizontal="center" vertical="center"/>
    </xf>
    <xf borderId="15" fillId="0" fontId="5" numFmtId="0" xfId="0" applyBorder="1" applyFont="1"/>
    <xf borderId="16" fillId="6" fontId="6" numFmtId="0" xfId="0" applyAlignment="1" applyBorder="1" applyFill="1" applyFont="1">
      <alignment horizontal="right" vertical="center"/>
    </xf>
    <xf borderId="17" fillId="2" fontId="9" numFmtId="0" xfId="0" applyBorder="1" applyFill="1" applyFont="1"/>
    <xf borderId="18" fillId="0" fontId="5" numFmtId="0" xfId="0" applyBorder="1" applyFont="1"/>
    <xf borderId="6" fillId="0" fontId="5" numFmtId="0" xfId="0" applyBorder="1" applyFont="1"/>
    <xf borderId="19" fillId="2" fontId="10" numFmtId="0" xfId="0" applyAlignment="1" applyBorder="1" applyFill="1" applyFont="1">
      <alignment horizontal="left" readingOrder="0" vertical="top"/>
    </xf>
    <xf borderId="20" fillId="0" fontId="5" numFmtId="0" xfId="0" applyBorder="1" applyFont="1"/>
    <xf borderId="21" fillId="0" fontId="5" numFmtId="0" xfId="0" applyBorder="1" applyFont="1"/>
    <xf borderId="22" fillId="5" fontId="4" numFmtId="0" xfId="0" applyAlignment="1" applyBorder="1" applyFill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1" fillId="2" fontId="9" numFmtId="0" xfId="0" applyBorder="1" applyFill="1" applyFont="1"/>
    <xf borderId="16" fillId="6" fontId="6" numFmtId="0" xfId="0" applyAlignment="1" applyBorder="1" applyFill="1" applyFont="1">
      <alignment horizontal="left" vertical="center"/>
    </xf>
    <xf borderId="25" fillId="2" fontId="11" numFmtId="0" xfId="0" applyAlignment="1" applyBorder="1" applyFill="1" applyFont="1">
      <alignment horizontal="left" vertical="center"/>
    </xf>
    <xf borderId="26" fillId="0" fontId="5" numFmtId="0" xfId="0" applyBorder="1" applyFont="1"/>
    <xf borderId="25" fillId="2" fontId="10" numFmtId="0" xfId="0" applyAlignment="1" applyBorder="1" applyFill="1" applyFont="1">
      <alignment horizontal="left" readingOrder="0"/>
    </xf>
    <xf borderId="27" fillId="0" fontId="5" numFmtId="0" xfId="0" applyBorder="1" applyFont="1"/>
    <xf borderId="28" fillId="0" fontId="5" numFmtId="0" xfId="0" applyBorder="1" applyFont="1"/>
    <xf borderId="17" fillId="2" fontId="2" numFmtId="0" xfId="0" applyBorder="1" applyFill="1" applyFont="1"/>
    <xf borderId="29" fillId="2" fontId="10" numFmtId="0" xfId="0" applyAlignment="1" applyBorder="1" applyFill="1" applyFont="1">
      <alignment horizontal="left" readingOrder="0"/>
    </xf>
    <xf borderId="30" fillId="2" fontId="11" numFmtId="0" xfId="0" applyAlignment="1" applyBorder="1" applyFill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2" fillId="7" fontId="6" numFmtId="0" xfId="0" applyAlignment="1" applyBorder="1" applyFill="1" applyFont="1">
      <alignment vertical="center"/>
    </xf>
    <xf borderId="2" fillId="8" fontId="6" numFmtId="0" xfId="0" applyAlignment="1" applyBorder="1" applyFill="1" applyFont="1">
      <alignment horizontal="center" vertical="center"/>
    </xf>
    <xf borderId="2" fillId="7" fontId="6" numFmtId="0" xfId="0" applyAlignment="1" applyBorder="1" applyFill="1" applyFont="1">
      <alignment horizontal="center" vertical="center"/>
    </xf>
    <xf borderId="31" fillId="2" fontId="13" numFmtId="0" xfId="0" applyAlignment="1" applyBorder="1" applyFill="1" applyFont="1">
      <alignment horizontal="center" shrinkToFit="0" vertical="top" wrapText="1"/>
    </xf>
    <xf borderId="32" fillId="0" fontId="5" numFmtId="0" xfId="0" applyBorder="1" applyFont="1"/>
    <xf borderId="33" fillId="0" fontId="5" numFmtId="0" xfId="0" applyBorder="1" applyFont="1"/>
    <xf borderId="12" fillId="3" fontId="6" numFmtId="0" xfId="0" applyAlignment="1" applyBorder="1" applyFill="1" applyFont="1">
      <alignment horizontal="center" vertical="center"/>
    </xf>
    <xf borderId="34" fillId="0" fontId="5" numFmtId="0" xfId="0" applyBorder="1" applyFont="1"/>
    <xf borderId="35" fillId="0" fontId="5" numFmtId="0" xfId="0" applyBorder="1" applyFont="1"/>
    <xf borderId="2" fillId="4" fontId="6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36" fillId="2" fontId="6" numFmtId="0" xfId="0" applyAlignment="1" applyBorder="1" applyFill="1" applyFont="1">
      <alignment vertical="center"/>
    </xf>
    <xf borderId="36" fillId="2" fontId="1" numFmtId="164" xfId="0" applyAlignment="1" applyBorder="1" applyFill="1" applyFont="1" applyNumberFormat="1">
      <alignment vertical="center"/>
    </xf>
    <xf borderId="37" fillId="5" fontId="4" numFmtId="164" xfId="0" applyAlignment="1" applyBorder="1" applyFill="1" applyFont="1" applyNumberFormat="1">
      <alignment horizontal="right" vertical="center"/>
    </xf>
    <xf borderId="38" fillId="5" fontId="4" numFmtId="0" xfId="0" applyAlignment="1" applyBorder="1" applyFill="1" applyFont="1">
      <alignment horizontal="center" vertical="center"/>
    </xf>
    <xf borderId="2" fillId="5" fontId="4" numFmtId="165" xfId="0" applyAlignment="1" applyBorder="1" applyFill="1" applyFont="1" applyNumberFormat="1">
      <alignment horizontal="right" vertical="center"/>
    </xf>
    <xf borderId="39" fillId="5" fontId="4" numFmtId="164" xfId="0" applyAlignment="1" applyBorder="1" applyFill="1" applyFont="1" applyNumberFormat="1">
      <alignment horizontal="right" vertical="center"/>
    </xf>
    <xf borderId="25" fillId="2" fontId="6" numFmtId="164" xfId="0" applyAlignment="1" applyBorder="1" applyFill="1" applyFont="1" applyNumberFormat="1">
      <alignment horizontal="center" vertical="center"/>
    </xf>
    <xf borderId="2" fillId="4" fontId="6" numFmtId="164" xfId="0" applyAlignment="1" applyBorder="1" applyFill="1" applyFont="1" applyNumberFormat="1">
      <alignment horizontal="center" vertical="center"/>
    </xf>
    <xf borderId="40" fillId="9" fontId="7" numFmtId="0" xfId="0" applyAlignment="1" applyBorder="1" applyFill="1" applyFont="1">
      <alignment horizontal="center" vertical="center"/>
    </xf>
    <xf borderId="41" fillId="0" fontId="5" numFmtId="0" xfId="0" applyBorder="1" applyFont="1"/>
    <xf borderId="42" fillId="0" fontId="5" numFmtId="0" xfId="0" applyBorder="1" applyFont="1"/>
    <xf borderId="43" fillId="7" fontId="6" numFmtId="0" xfId="0" applyAlignment="1" applyBorder="1" applyFill="1" applyFont="1">
      <alignment vertical="center"/>
    </xf>
    <xf borderId="44" fillId="9" fontId="7" numFmtId="0" xfId="0" applyAlignment="1" applyBorder="1" applyFill="1" applyFont="1">
      <alignment horizontal="center" vertical="center"/>
    </xf>
    <xf borderId="45" fillId="0" fontId="5" numFmtId="0" xfId="0" applyBorder="1" applyFont="1"/>
    <xf borderId="46" fillId="8" fontId="6" numFmtId="164" xfId="0" applyAlignment="1" applyBorder="1" applyFill="1" applyFont="1" applyNumberFormat="1">
      <alignment horizontal="center" vertical="center"/>
    </xf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50" fillId="9" fontId="14" numFmtId="166" xfId="0" applyAlignment="1" applyBorder="1" applyFill="1" applyFont="1" applyNumberFormat="1">
      <alignment horizontal="center" vertical="center"/>
    </xf>
    <xf borderId="51" fillId="9" fontId="14" numFmtId="0" xfId="0" applyAlignment="1" applyBorder="1" applyFill="1" applyFont="1">
      <alignment horizontal="center" vertical="center"/>
    </xf>
    <xf borderId="46" fillId="7" fontId="6" numFmtId="164" xfId="0" applyAlignment="1" applyBorder="1" applyFill="1" applyFont="1" applyNumberFormat="1">
      <alignment horizontal="center" vertical="center"/>
    </xf>
    <xf borderId="52" fillId="9" fontId="14" numFmtId="0" xfId="0" applyAlignment="1" applyBorder="1" applyFill="1" applyFont="1">
      <alignment horizontal="center" shrinkToFit="0" vertical="center" wrapText="1"/>
    </xf>
    <xf borderId="53" fillId="0" fontId="5" numFmtId="0" xfId="0" applyBorder="1" applyFont="1"/>
    <xf borderId="54" fillId="0" fontId="5" numFmtId="0" xfId="0" applyBorder="1" applyFont="1"/>
    <xf borderId="55" fillId="9" fontId="14" numFmtId="166" xfId="0" applyAlignment="1" applyBorder="1" applyFill="1" applyFont="1" applyNumberFormat="1">
      <alignment horizontal="center" vertical="center"/>
    </xf>
    <xf borderId="56" fillId="0" fontId="5" numFmtId="0" xfId="0" applyBorder="1" applyFont="1"/>
    <xf borderId="57" fillId="9" fontId="14" numFmtId="0" xfId="0" applyAlignment="1" applyBorder="1" applyFill="1" applyFont="1">
      <alignment horizontal="center" vertical="center"/>
    </xf>
    <xf borderId="58" fillId="9" fontId="14" numFmtId="0" xfId="0" applyAlignment="1" applyBorder="1" applyFill="1" applyFont="1">
      <alignment horizontal="center" shrinkToFit="0" vertical="center" wrapText="1"/>
    </xf>
    <xf borderId="6" fillId="0" fontId="1" numFmtId="0" xfId="0" applyBorder="1" applyFont="1"/>
    <xf borderId="59" fillId="10" fontId="15" numFmtId="166" xfId="0" applyAlignment="1" applyBorder="1" applyFill="1" applyFont="1" applyNumberFormat="1">
      <alignment horizontal="center" vertical="center"/>
    </xf>
    <xf borderId="25" fillId="3" fontId="6" numFmtId="164" xfId="0" applyAlignment="1" applyBorder="1" applyFill="1" applyFont="1" applyNumberFormat="1">
      <alignment horizontal="center" vertical="center"/>
    </xf>
    <xf borderId="60" fillId="0" fontId="5" numFmtId="0" xfId="0" applyBorder="1" applyFont="1"/>
    <xf borderId="61" fillId="0" fontId="5" numFmtId="0" xfId="0" applyBorder="1" applyFont="1"/>
    <xf borderId="43" fillId="2" fontId="6" numFmtId="0" xfId="0" applyAlignment="1" applyBorder="1" applyFill="1" applyFont="1">
      <alignment vertical="center"/>
    </xf>
    <xf borderId="43" fillId="2" fontId="1" numFmtId="164" xfId="0" applyAlignment="1" applyBorder="1" applyFill="1" applyFont="1" applyNumberFormat="1">
      <alignment vertical="center"/>
    </xf>
    <xf borderId="62" fillId="2" fontId="16" numFmtId="0" xfId="0" applyAlignment="1" applyBorder="1" applyFill="1" applyFont="1">
      <alignment textRotation="90" vertical="top"/>
    </xf>
    <xf borderId="63" fillId="11" fontId="1" numFmtId="166" xfId="0" applyAlignment="1" applyBorder="1" applyFill="1" applyFont="1" applyNumberFormat="1">
      <alignment horizontal="center" readingOrder="0"/>
    </xf>
    <xf borderId="64" fillId="11" fontId="1" numFmtId="167" xfId="0" applyAlignment="1" applyBorder="1" applyFill="1" applyFont="1" applyNumberFormat="1">
      <alignment readingOrder="0"/>
    </xf>
    <xf borderId="65" fillId="11" fontId="1" numFmtId="164" xfId="0" applyAlignment="1" applyBorder="1" applyFill="1" applyFont="1" applyNumberFormat="1">
      <alignment readingOrder="0"/>
    </xf>
    <xf borderId="66" fillId="11" fontId="1" numFmtId="166" xfId="0" applyAlignment="1" applyBorder="1" applyFill="1" applyFont="1" applyNumberFormat="1">
      <alignment horizontal="center" readingOrder="0"/>
    </xf>
    <xf borderId="67" fillId="11" fontId="1" numFmtId="164" xfId="0" applyAlignment="1" applyBorder="1" applyFill="1" applyFont="1" applyNumberFormat="1">
      <alignment readingOrder="0"/>
    </xf>
    <xf borderId="68" fillId="2" fontId="1" numFmtId="0" xfId="0" applyBorder="1" applyFill="1" applyFont="1"/>
    <xf borderId="69" fillId="11" fontId="1" numFmtId="166" xfId="0" applyAlignment="1" applyBorder="1" applyFill="1" applyFont="1" applyNumberFormat="1">
      <alignment horizontal="center" readingOrder="0"/>
    </xf>
    <xf borderId="70" fillId="11" fontId="1" numFmtId="167" xfId="0" applyAlignment="1" applyBorder="1" applyFill="1" applyFont="1" applyNumberFormat="1">
      <alignment readingOrder="0"/>
    </xf>
    <xf borderId="71" fillId="11" fontId="1" numFmtId="164" xfId="0" applyAlignment="1" applyBorder="1" applyFill="1" applyFont="1" applyNumberFormat="1">
      <alignment readingOrder="0"/>
    </xf>
    <xf borderId="72" fillId="11" fontId="1" numFmtId="166" xfId="0" applyAlignment="1" applyBorder="1" applyFill="1" applyFont="1" applyNumberFormat="1">
      <alignment horizontal="center"/>
    </xf>
    <xf borderId="70" fillId="11" fontId="1" numFmtId="167" xfId="0" applyBorder="1" applyFill="1" applyFont="1" applyNumberFormat="1"/>
    <xf borderId="71" fillId="11" fontId="1" numFmtId="164" xfId="0" applyBorder="1" applyFill="1" applyFont="1" applyNumberFormat="1"/>
    <xf borderId="72" fillId="11" fontId="1" numFmtId="166" xfId="0" applyAlignment="1" applyBorder="1" applyFill="1" applyFont="1" applyNumberFormat="1">
      <alignment horizontal="center" readingOrder="0"/>
    </xf>
    <xf borderId="73" fillId="11" fontId="1" numFmtId="164" xfId="0" applyAlignment="1" applyBorder="1" applyFill="1" applyFont="1" applyNumberFormat="1">
      <alignment readingOrder="0"/>
    </xf>
    <xf borderId="69" fillId="11" fontId="1" numFmtId="168" xfId="0" applyAlignment="1" applyBorder="1" applyFill="1" applyFont="1" applyNumberFormat="1">
      <alignment horizontal="center" readingOrder="0"/>
    </xf>
    <xf borderId="73" fillId="11" fontId="1" numFmtId="164" xfId="0" applyBorder="1" applyFill="1" applyFont="1" applyNumberFormat="1"/>
    <xf borderId="0" fillId="0" fontId="17" numFmtId="0" xfId="0" applyFont="1"/>
    <xf borderId="69" fillId="11" fontId="1" numFmtId="166" xfId="0" applyAlignment="1" applyBorder="1" applyFill="1" applyFont="1" applyNumberFormat="1">
      <alignment horizontal="center"/>
    </xf>
    <xf borderId="25" fillId="3" fontId="6" numFmtId="0" xfId="0" applyAlignment="1" applyBorder="1" applyFill="1" applyFont="1">
      <alignment horizontal="center" vertical="center"/>
    </xf>
    <xf borderId="74" fillId="11" fontId="1" numFmtId="167" xfId="0" applyBorder="1" applyFill="1" applyFont="1" applyNumberFormat="1"/>
    <xf borderId="75" fillId="7" fontId="6" numFmtId="0" xfId="0" applyAlignment="1" applyBorder="1" applyFill="1" applyFont="1">
      <alignment vertical="center"/>
    </xf>
    <xf borderId="76" fillId="8" fontId="6" numFmtId="164" xfId="0" applyAlignment="1" applyBorder="1" applyFill="1" applyFont="1" applyNumberFormat="1">
      <alignment horizontal="center" vertical="center"/>
    </xf>
    <xf borderId="77" fillId="0" fontId="5" numFmtId="0" xfId="0" applyBorder="1" applyFont="1"/>
    <xf borderId="78" fillId="0" fontId="5" numFmtId="0" xfId="0" applyBorder="1" applyFont="1"/>
    <xf borderId="76" fillId="7" fontId="6" numFmtId="164" xfId="0" applyAlignment="1" applyBorder="1" applyFill="1" applyFont="1" applyNumberFormat="1">
      <alignment horizontal="center" vertical="center"/>
    </xf>
    <xf borderId="79" fillId="12" fontId="6" numFmtId="0" xfId="0" applyAlignment="1" applyBorder="1" applyFill="1" applyFont="1">
      <alignment vertical="center"/>
    </xf>
    <xf borderId="80" fillId="12" fontId="6" numFmtId="164" xfId="0" applyAlignment="1" applyBorder="1" applyFill="1" applyFont="1" applyNumberFormat="1">
      <alignment horizontal="center" vertical="center"/>
    </xf>
    <xf borderId="81" fillId="0" fontId="5" numFmtId="0" xfId="0" applyBorder="1" applyFont="1"/>
    <xf borderId="82" fillId="2" fontId="18" numFmtId="0" xfId="0" applyAlignment="1" applyBorder="1" applyFill="1" applyFont="1">
      <alignment horizontal="left" shrinkToFit="0" vertical="center" wrapText="1"/>
    </xf>
    <xf borderId="83" fillId="0" fontId="5" numFmtId="0" xfId="0" applyBorder="1" applyFont="1"/>
    <xf borderId="2" fillId="4" fontId="18" numFmtId="0" xfId="0" applyAlignment="1" applyBorder="1" applyFill="1" applyFont="1">
      <alignment horizontal="left" shrinkToFit="0" vertical="center" wrapText="1"/>
    </xf>
    <xf borderId="84" fillId="2" fontId="18" numFmtId="0" xfId="0" applyAlignment="1" applyBorder="1" applyFill="1" applyFont="1">
      <alignment horizontal="left" shrinkToFit="0" vertical="center" wrapText="1"/>
    </xf>
    <xf borderId="85" fillId="0" fontId="5" numFmtId="0" xfId="0" applyBorder="1" applyFont="1"/>
    <xf borderId="86" fillId="0" fontId="5" numFmtId="0" xfId="0" applyBorder="1" applyFont="1"/>
    <xf borderId="25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vertical="center"/>
    </xf>
    <xf borderId="2" fillId="4" fontId="6" numFmtId="0" xfId="0" applyAlignment="1" applyBorder="1" applyFill="1" applyFont="1">
      <alignment vertical="center"/>
    </xf>
    <xf borderId="25" fillId="2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vertical="center"/>
    </xf>
    <xf borderId="4" fillId="2" fontId="6" numFmtId="165" xfId="0" applyAlignment="1" applyBorder="1" applyFill="1" applyFont="1" applyNumberFormat="1">
      <alignment horizontal="center" vertical="center"/>
    </xf>
    <xf borderId="87" fillId="0" fontId="5" numFmtId="0" xfId="0" applyBorder="1" applyFont="1"/>
    <xf borderId="88" fillId="2" fontId="6" numFmtId="0" xfId="0" applyAlignment="1" applyBorder="1" applyFill="1" applyFont="1">
      <alignment horizontal="center" vertical="center"/>
    </xf>
    <xf borderId="89" fillId="2" fontId="1" numFmtId="0" xfId="0" applyBorder="1" applyFill="1" applyFont="1"/>
    <xf borderId="72" fillId="2" fontId="1" numFmtId="169" xfId="0" applyAlignment="1" applyBorder="1" applyFill="1" applyFont="1" applyNumberFormat="1">
      <alignment horizontal="left" readingOrder="0" vertical="center"/>
    </xf>
    <xf borderId="90" fillId="11" fontId="1" numFmtId="166" xfId="0" applyAlignment="1" applyBorder="1" applyFill="1" applyFont="1" applyNumberFormat="1">
      <alignment horizontal="center"/>
    </xf>
    <xf borderId="71" fillId="2" fontId="1" numFmtId="165" xfId="0" applyAlignment="1" applyBorder="1" applyFill="1" applyFont="1" applyNumberFormat="1">
      <alignment horizontal="center" readingOrder="0" vertical="center"/>
    </xf>
    <xf borderId="91" fillId="11" fontId="1" numFmtId="167" xfId="0" applyBorder="1" applyFill="1" applyFont="1" applyNumberFormat="1"/>
    <xf borderId="92" fillId="11" fontId="1" numFmtId="164" xfId="0" applyBorder="1" applyFill="1" applyFont="1" applyNumberFormat="1"/>
    <xf borderId="93" fillId="2" fontId="1" numFmtId="170" xfId="0" applyAlignment="1" applyBorder="1" applyFill="1" applyFont="1" applyNumberFormat="1">
      <alignment horizontal="center" readingOrder="0" vertical="center"/>
    </xf>
    <xf borderId="94" fillId="11" fontId="1" numFmtId="166" xfId="0" applyAlignment="1" applyBorder="1" applyFill="1" applyFont="1" applyNumberFormat="1">
      <alignment horizontal="center"/>
    </xf>
    <xf borderId="95" fillId="0" fontId="5" numFmtId="0" xfId="0" applyBorder="1" applyFont="1"/>
    <xf borderId="96" fillId="11" fontId="1" numFmtId="164" xfId="0" applyBorder="1" applyFill="1" applyFont="1" applyNumberFormat="1"/>
    <xf borderId="97" fillId="2" fontId="1" numFmtId="164" xfId="0" applyAlignment="1" applyBorder="1" applyFill="1" applyFont="1" applyNumberFormat="1">
      <alignment horizontal="center" readingOrder="0" vertical="center"/>
    </xf>
    <xf borderId="98" fillId="0" fontId="16" numFmtId="0" xfId="0" applyAlignment="1" applyBorder="1" applyFont="1">
      <alignment horizontal="center" textRotation="90" vertical="top"/>
    </xf>
    <xf borderId="99" fillId="2" fontId="1" numFmtId="170" xfId="0" applyAlignment="1" applyBorder="1" applyFill="1" applyFont="1" applyNumberFormat="1">
      <alignment horizontal="center" readingOrder="0" vertical="center"/>
    </xf>
    <xf borderId="100" fillId="0" fontId="5" numFmtId="0" xfId="0" applyBorder="1" applyFont="1"/>
    <xf borderId="101" fillId="11" fontId="6" numFmtId="171" xfId="0" applyAlignment="1" applyBorder="1" applyFill="1" applyFont="1" applyNumberFormat="1">
      <alignment horizontal="center"/>
    </xf>
    <xf borderId="71" fillId="2" fontId="1" numFmtId="164" xfId="0" applyAlignment="1" applyBorder="1" applyFill="1" applyFont="1" applyNumberFormat="1">
      <alignment horizontal="center" readingOrder="0" vertical="center"/>
    </xf>
    <xf borderId="102" fillId="0" fontId="5" numFmtId="0" xfId="0" applyBorder="1" applyFont="1"/>
    <xf borderId="103" fillId="11" fontId="6" numFmtId="164" xfId="0" applyBorder="1" applyFill="1" applyFont="1" applyNumberFormat="1"/>
    <xf borderId="99" fillId="2" fontId="1" numFmtId="170" xfId="0" applyAlignment="1" applyBorder="1" applyFill="1" applyFont="1" applyNumberFormat="1">
      <alignment horizontal="center" vertical="center"/>
    </xf>
    <xf borderId="2" fillId="13" fontId="6" numFmtId="166" xfId="0" applyBorder="1" applyFill="1" applyFont="1" applyNumberFormat="1"/>
    <xf borderId="71" fillId="2" fontId="1" numFmtId="164" xfId="0" applyAlignment="1" applyBorder="1" applyFill="1" applyFont="1" applyNumberFormat="1">
      <alignment horizontal="center" vertical="center"/>
    </xf>
    <xf borderId="2" fillId="11" fontId="6" numFmtId="165" xfId="0" applyBorder="1" applyFill="1" applyFont="1" applyNumberFormat="1"/>
    <xf borderId="84" fillId="11" fontId="12" numFmtId="164" xfId="0" applyAlignment="1" applyBorder="1" applyFill="1" applyFont="1" applyNumberFormat="1">
      <alignment horizontal="center"/>
    </xf>
    <xf borderId="0" fillId="0" fontId="17" numFmtId="170" xfId="0" applyFont="1" applyNumberFormat="1"/>
    <xf borderId="2" fillId="11" fontId="6" numFmtId="166" xfId="0" applyBorder="1" applyFill="1" applyFont="1" applyNumberFormat="1"/>
    <xf borderId="104" fillId="0" fontId="5" numFmtId="0" xfId="0" applyBorder="1" applyFont="1"/>
    <xf borderId="99" fillId="2" fontId="1" numFmtId="172" xfId="0" applyAlignment="1" applyBorder="1" applyFill="1" applyFont="1" applyNumberFormat="1">
      <alignment horizontal="center" vertical="center"/>
    </xf>
    <xf borderId="66" fillId="11" fontId="1" numFmtId="166" xfId="0" applyAlignment="1" applyBorder="1" applyFill="1" applyFont="1" applyNumberFormat="1">
      <alignment horizontal="center"/>
    </xf>
    <xf borderId="64" fillId="11" fontId="1" numFmtId="167" xfId="0" applyBorder="1" applyFill="1" applyFont="1" applyNumberFormat="1"/>
    <xf borderId="65" fillId="11" fontId="1" numFmtId="164" xfId="0" applyBorder="1" applyFill="1" applyFont="1" applyNumberFormat="1"/>
    <xf borderId="105" fillId="6" fontId="6" numFmtId="0" xfId="0" applyAlignment="1" applyBorder="1" applyFill="1" applyFont="1">
      <alignment vertical="center"/>
    </xf>
    <xf borderId="7" fillId="6" fontId="6" numFmtId="164" xfId="0" applyAlignment="1" applyBorder="1" applyFill="1" applyFont="1" applyNumberFormat="1">
      <alignment vertical="center"/>
    </xf>
    <xf borderId="72" fillId="2" fontId="1" numFmtId="169" xfId="0" applyAlignment="1" applyBorder="1" applyFill="1" applyFont="1" applyNumberFormat="1">
      <alignment horizontal="left" vertical="center"/>
    </xf>
    <xf borderId="71" fillId="2" fontId="1" numFmtId="165" xfId="0" applyAlignment="1" applyBorder="1" applyFill="1" applyFont="1" applyNumberFormat="1">
      <alignment horizontal="center" vertical="center"/>
    </xf>
    <xf borderId="25" fillId="2" fontId="6" numFmtId="0" xfId="0" applyAlignment="1" applyBorder="1" applyFill="1" applyFont="1">
      <alignment vertical="center"/>
    </xf>
    <xf borderId="29" fillId="2" fontId="6" numFmtId="164" xfId="0" applyAlignment="1" applyBorder="1" applyFill="1" applyFont="1" applyNumberFormat="1">
      <alignment vertical="center"/>
    </xf>
    <xf borderId="25" fillId="6" fontId="6" numFmtId="0" xfId="0" applyAlignment="1" applyBorder="1" applyFill="1" applyFont="1">
      <alignment vertical="center"/>
    </xf>
    <xf borderId="29" fillId="6" fontId="6" numFmtId="164" xfId="0" applyAlignment="1" applyBorder="1" applyFill="1" applyFont="1" applyNumberFormat="1">
      <alignment vertical="center"/>
    </xf>
    <xf borderId="106" fillId="2" fontId="1" numFmtId="169" xfId="0" applyAlignment="1" applyBorder="1" applyFill="1" applyFont="1" applyNumberFormat="1">
      <alignment horizontal="center" vertical="center"/>
    </xf>
    <xf borderId="107" fillId="2" fontId="6" numFmtId="0" xfId="0" applyAlignment="1" applyBorder="1" applyFill="1" applyFont="1">
      <alignment horizontal="left" vertical="center"/>
    </xf>
    <xf borderId="108" fillId="2" fontId="12" numFmtId="165" xfId="0" applyAlignment="1" applyBorder="1" applyFill="1" applyFont="1" applyNumberFormat="1">
      <alignment horizontal="center" vertical="center"/>
    </xf>
    <xf borderId="72" fillId="11" fontId="1" numFmtId="14" xfId="0" applyAlignment="1" applyBorder="1" applyFill="1" applyFont="1" applyNumberFormat="1">
      <alignment horizontal="center" readingOrder="0"/>
    </xf>
    <xf borderId="63" fillId="11" fontId="1" numFmtId="166" xfId="0" applyAlignment="1" applyBorder="1" applyFill="1" applyFont="1" applyNumberFormat="1">
      <alignment horizontal="center"/>
    </xf>
    <xf borderId="67" fillId="11" fontId="1" numFmtId="164" xfId="0" applyBorder="1" applyFill="1" applyFont="1" applyNumberFormat="1"/>
    <xf borderId="109" fillId="2" fontId="3" numFmtId="0" xfId="0" applyAlignment="1" applyBorder="1" applyFill="1" applyFont="1">
      <alignment horizontal="center" shrinkToFit="0" wrapText="1"/>
    </xf>
    <xf borderId="31" fillId="6" fontId="4" numFmtId="0" xfId="0" applyAlignment="1" applyBorder="1" applyFill="1" applyFont="1">
      <alignment horizontal="center" vertical="center"/>
    </xf>
    <xf borderId="110" fillId="0" fontId="5" numFmtId="0" xfId="0" applyBorder="1" applyFont="1"/>
    <xf borderId="111" fillId="6" fontId="19" numFmtId="0" xfId="0" applyAlignment="1" applyBorder="1" applyFill="1" applyFont="1">
      <alignment horizontal="center" vertical="center"/>
    </xf>
    <xf borderId="84" fillId="2" fontId="1" numFmtId="0" xfId="0" applyAlignment="1" applyBorder="1" applyFill="1" applyFont="1">
      <alignment horizontal="center"/>
    </xf>
    <xf borderId="112" fillId="0" fontId="5" numFmtId="0" xfId="0" applyBorder="1" applyFont="1"/>
    <xf borderId="113" fillId="0" fontId="5" numFmtId="0" xfId="0" applyBorder="1" applyFont="1"/>
    <xf borderId="114" fillId="0" fontId="5" numFmtId="0" xfId="0" applyBorder="1" applyFont="1"/>
    <xf borderId="84" fillId="2" fontId="1" numFmtId="164" xfId="0" applyAlignment="1" applyBorder="1" applyFill="1" applyFont="1" applyNumberFormat="1">
      <alignment horizontal="center"/>
    </xf>
    <xf borderId="2" fillId="2" fontId="6" numFmtId="0" xfId="0" applyBorder="1" applyFill="1" applyFont="1"/>
    <xf borderId="115" fillId="0" fontId="5" numFmtId="0" xfId="0" applyBorder="1" applyFont="1"/>
    <xf borderId="116" fillId="0" fontId="5" numFmtId="0" xfId="0" applyBorder="1" applyFont="1"/>
    <xf borderId="117" fillId="0" fontId="5" numFmtId="0" xfId="0" applyBorder="1" applyFont="1"/>
    <xf borderId="2" fillId="2" fontId="1" numFmtId="164" xfId="0" applyAlignment="1" applyBorder="1" applyFill="1" applyFont="1" applyNumberFormat="1">
      <alignment horizontal="center"/>
    </xf>
    <xf borderId="2" fillId="2" fontId="20" numFmtId="0" xfId="0" applyAlignment="1" applyBorder="1" applyFill="1" applyFont="1">
      <alignment shrinkToFit="0" wrapText="1"/>
    </xf>
    <xf borderId="25" fillId="14" fontId="4" numFmtId="0" xfId="0" applyAlignment="1" applyBorder="1" applyFill="1" applyFont="1">
      <alignment horizontal="right" vertical="center"/>
    </xf>
    <xf borderId="30" fillId="14" fontId="4" numFmtId="0" xfId="0" applyAlignment="1" applyBorder="1" applyFill="1" applyFont="1">
      <alignment horizontal="left" vertical="center"/>
    </xf>
    <xf borderId="118" fillId="11" fontId="6" numFmtId="166" xfId="0" applyAlignment="1" applyBorder="1" applyFill="1" applyFont="1" applyNumberFormat="1">
      <alignment horizontal="center" vertical="top"/>
    </xf>
    <xf borderId="119" fillId="11" fontId="6" numFmtId="167" xfId="0" applyAlignment="1" applyBorder="1" applyFill="1" applyFont="1" applyNumberFormat="1">
      <alignment horizontal="center"/>
    </xf>
    <xf borderId="120" fillId="11" fontId="6" numFmtId="164" xfId="0" applyAlignment="1" applyBorder="1" applyFill="1" applyFont="1" applyNumberFormat="1">
      <alignment horizontal="center"/>
    </xf>
    <xf borderId="121" fillId="11" fontId="6" numFmtId="0" xfId="0" applyAlignment="1" applyBorder="1" applyFill="1" applyFont="1">
      <alignment horizontal="center"/>
    </xf>
    <xf borderId="2" fillId="2" fontId="6" numFmtId="0" xfId="0" applyAlignment="1" applyBorder="1" applyFill="1" applyFont="1">
      <alignment shrinkToFit="0" wrapText="1"/>
    </xf>
    <xf borderId="122" fillId="3" fontId="1" numFmtId="166" xfId="0" applyAlignment="1" applyBorder="1" applyFill="1" applyFont="1" applyNumberFormat="1">
      <alignment horizontal="center" readingOrder="0" vertical="top"/>
    </xf>
    <xf borderId="123" fillId="3" fontId="1" numFmtId="167" xfId="0" applyAlignment="1" applyBorder="1" applyFill="1" applyFont="1" applyNumberFormat="1">
      <alignment readingOrder="0"/>
    </xf>
    <xf borderId="124" fillId="3" fontId="1" numFmtId="164" xfId="0" applyAlignment="1" applyBorder="1" applyFill="1" applyFont="1" applyNumberFormat="1">
      <alignment horizontal="center" readingOrder="0"/>
    </xf>
    <xf borderId="123" fillId="3" fontId="1" numFmtId="167" xfId="0" applyAlignment="1" applyBorder="1" applyFill="1" applyFont="1" applyNumberFormat="1">
      <alignment horizontal="center" readingOrder="0"/>
    </xf>
    <xf borderId="125" fillId="3" fontId="1" numFmtId="164" xfId="0" applyAlignment="1" applyBorder="1" applyFill="1" applyFont="1" applyNumberFormat="1">
      <alignment horizontal="center" readingOrder="0"/>
    </xf>
    <xf borderId="84" fillId="2" fontId="6" numFmtId="0" xfId="0" applyAlignment="1" applyBorder="1" applyFill="1" applyFont="1">
      <alignment horizontal="center"/>
    </xf>
    <xf borderId="2" fillId="2" fontId="6" numFmtId="0" xfId="0" applyAlignment="1" applyBorder="1" applyFill="1" applyFont="1">
      <alignment horizontal="center"/>
    </xf>
    <xf borderId="72" fillId="3" fontId="1" numFmtId="166" xfId="0" applyAlignment="1" applyBorder="1" applyFill="1" applyFont="1" applyNumberFormat="1">
      <alignment horizontal="center" readingOrder="0" vertical="top"/>
    </xf>
    <xf borderId="70" fillId="3" fontId="1" numFmtId="167" xfId="0" applyAlignment="1" applyBorder="1" applyFill="1" applyFont="1" applyNumberFormat="1">
      <alignment readingOrder="0"/>
    </xf>
    <xf borderId="126" fillId="3" fontId="1" numFmtId="164" xfId="0" applyAlignment="1" applyBorder="1" applyFill="1" applyFont="1" applyNumberFormat="1">
      <alignment horizontal="center" readingOrder="0"/>
    </xf>
    <xf borderId="70" fillId="3" fontId="1" numFmtId="167" xfId="0" applyAlignment="1" applyBorder="1" applyFill="1" applyFont="1" applyNumberFormat="1">
      <alignment horizontal="center" readingOrder="0"/>
    </xf>
    <xf borderId="71" fillId="3" fontId="1" numFmtId="164" xfId="0" applyAlignment="1" applyBorder="1" applyFill="1" applyFont="1" applyNumberFormat="1">
      <alignment horizontal="center" readingOrder="0"/>
    </xf>
    <xf borderId="84" fillId="2" fontId="1" numFmtId="14" xfId="0" applyAlignment="1" applyBorder="1" applyFill="1" applyFont="1" applyNumberFormat="1">
      <alignment horizontal="center"/>
    </xf>
    <xf borderId="2" fillId="2" fontId="6" numFmtId="164" xfId="0" applyBorder="1" applyFill="1" applyFont="1" applyNumberFormat="1"/>
    <xf borderId="72" fillId="3" fontId="1" numFmtId="166" xfId="0" applyAlignment="1" applyBorder="1" applyFill="1" applyFont="1" applyNumberFormat="1">
      <alignment horizontal="center" vertical="top"/>
    </xf>
    <xf borderId="70" fillId="3" fontId="1" numFmtId="167" xfId="0" applyAlignment="1" applyBorder="1" applyFill="1" applyFont="1" applyNumberFormat="1">
      <alignment horizontal="center"/>
    </xf>
    <xf borderId="71" fillId="3" fontId="1" numFmtId="164" xfId="0" applyAlignment="1" applyBorder="1" applyFill="1" applyFont="1" applyNumberFormat="1">
      <alignment horizontal="center"/>
    </xf>
    <xf borderId="84" fillId="2" fontId="6" numFmtId="0" xfId="0" applyBorder="1" applyFill="1" applyFont="1"/>
    <xf borderId="2" fillId="2" fontId="6" numFmtId="164" xfId="0" applyAlignment="1" applyBorder="1" applyFill="1" applyFont="1" applyNumberFormat="1">
      <alignment horizontal="center"/>
    </xf>
    <xf borderId="84" fillId="2" fontId="6" numFmtId="0" xfId="0" applyAlignment="1" applyBorder="1" applyFill="1" applyFont="1">
      <alignment horizontal="left"/>
    </xf>
    <xf borderId="2" fillId="2" fontId="6" numFmtId="164" xfId="0" applyAlignment="1" applyBorder="1" applyFill="1" applyFont="1" applyNumberFormat="1">
      <alignment horizontal="right"/>
    </xf>
    <xf borderId="127" fillId="3" fontId="1" numFmtId="166" xfId="0" applyAlignment="1" applyBorder="1" applyFill="1" applyFont="1" applyNumberFormat="1">
      <alignment horizontal="center" readingOrder="0" vertical="top"/>
    </xf>
    <xf borderId="128" fillId="3" fontId="1" numFmtId="167" xfId="0" applyAlignment="1" applyBorder="1" applyFill="1" applyFont="1" applyNumberFormat="1">
      <alignment readingOrder="0"/>
    </xf>
    <xf borderId="129" fillId="3" fontId="1" numFmtId="164" xfId="0" applyAlignment="1" applyBorder="1" applyFill="1" applyFont="1" applyNumberFormat="1">
      <alignment horizontal="center" readingOrder="0"/>
    </xf>
    <xf borderId="127" fillId="3" fontId="1" numFmtId="166" xfId="0" applyAlignment="1" applyBorder="1" applyFill="1" applyFont="1" applyNumberFormat="1">
      <alignment horizontal="center" vertical="top"/>
    </xf>
    <xf borderId="128" fillId="3" fontId="1" numFmtId="167" xfId="0" applyAlignment="1" applyBorder="1" applyFill="1" applyFont="1" applyNumberFormat="1">
      <alignment horizontal="center"/>
    </xf>
    <xf borderId="130" fillId="3" fontId="1" numFmtId="164" xfId="0" applyAlignment="1" applyBorder="1" applyFill="1" applyFont="1" applyNumberFormat="1">
      <alignment horizontal="center"/>
    </xf>
    <xf borderId="84" fillId="6" fontId="1" numFmtId="171" xfId="0" applyAlignment="1" applyBorder="1" applyFill="1" applyFont="1" applyNumberFormat="1">
      <alignment horizontal="center" vertical="top"/>
    </xf>
    <xf borderId="68" fillId="14" fontId="6" numFmtId="164" xfId="0" applyAlignment="1" applyBorder="1" applyFill="1" applyFont="1" applyNumberFormat="1">
      <alignment horizontal="center"/>
    </xf>
    <xf borderId="2" fillId="15" fontId="1" numFmtId="0" xfId="0" applyBorder="1" applyFill="1" applyFont="1"/>
    <xf borderId="66" fillId="3" fontId="1" numFmtId="0" xfId="0" applyAlignment="1" applyBorder="1" applyFill="1" applyFont="1">
      <alignment horizontal="center" readingOrder="0" vertical="top"/>
    </xf>
    <xf borderId="64" fillId="3" fontId="1" numFmtId="167" xfId="0" applyAlignment="1" applyBorder="1" applyFill="1" applyFont="1" applyNumberFormat="1">
      <alignment readingOrder="0"/>
    </xf>
    <xf borderId="131" fillId="3" fontId="1" numFmtId="164" xfId="0" applyAlignment="1" applyBorder="1" applyFill="1" applyFont="1" applyNumberFormat="1">
      <alignment horizontal="center" readingOrder="0"/>
    </xf>
    <xf borderId="66" fillId="3" fontId="1" numFmtId="166" xfId="0" applyAlignment="1" applyBorder="1" applyFill="1" applyFont="1" applyNumberFormat="1">
      <alignment horizontal="center" vertical="top"/>
    </xf>
    <xf borderId="64" fillId="3" fontId="1" numFmtId="167" xfId="0" applyAlignment="1" applyBorder="1" applyFill="1" applyFont="1" applyNumberFormat="1">
      <alignment horizontal="center"/>
    </xf>
    <xf borderId="65" fillId="3" fontId="1" numFmtId="164" xfId="0" applyAlignment="1" applyBorder="1" applyFill="1" applyFont="1" applyNumberFormat="1">
      <alignment horizontal="center"/>
    </xf>
    <xf borderId="70" fillId="3" fontId="1" numFmtId="167" xfId="0" applyBorder="1" applyFill="1" applyFont="1" applyNumberFormat="1"/>
    <xf borderId="126" fillId="3" fontId="1" numFmtId="164" xfId="0" applyAlignment="1" applyBorder="1" applyFill="1" applyFont="1" applyNumberFormat="1">
      <alignment horizontal="center"/>
    </xf>
    <xf borderId="0" fillId="0" fontId="16" numFmtId="0" xfId="0" applyAlignment="1" applyFont="1">
      <alignment horizontal="center" textRotation="90" vertical="top"/>
    </xf>
    <xf borderId="128" fillId="3" fontId="1" numFmtId="167" xfId="0" applyBorder="1" applyFill="1" applyFont="1" applyNumberFormat="1"/>
    <xf borderId="129" fillId="3" fontId="1" numFmtId="164" xfId="0" applyAlignment="1" applyBorder="1" applyFill="1" applyFont="1" applyNumberFormat="1">
      <alignment horizontal="center"/>
    </xf>
    <xf borderId="84" fillId="3" fontId="1" numFmtId="171" xfId="0" applyAlignment="1" applyBorder="1" applyFill="1" applyFont="1" applyNumberFormat="1">
      <alignment horizontal="center" vertical="top"/>
    </xf>
    <xf borderId="2" fillId="13" fontId="16" numFmtId="0" xfId="0" applyAlignment="1" applyBorder="1" applyFill="1" applyFont="1">
      <alignment horizontal="center" vertical="top"/>
    </xf>
    <xf borderId="2" fillId="13" fontId="1" numFmtId="166" xfId="0" applyAlignment="1" applyBorder="1" applyFill="1" applyFont="1" applyNumberFormat="1">
      <alignment horizontal="center"/>
    </xf>
    <xf borderId="68" fillId="3" fontId="6" numFmtId="164" xfId="0" applyAlignment="1" applyBorder="1" applyFill="1" applyFont="1" applyNumberFormat="1">
      <alignment horizontal="center"/>
    </xf>
    <xf borderId="2" fillId="13" fontId="1" numFmtId="0" xfId="0" applyBorder="1" applyFill="1" applyFont="1"/>
    <xf borderId="0" fillId="0" fontId="16" numFmtId="0" xfId="0" applyAlignment="1" applyFont="1">
      <alignment horizontal="center" vertical="top"/>
    </xf>
    <xf borderId="0" fillId="0" fontId="1" numFmtId="166" xfId="0" applyAlignment="1" applyFont="1" applyNumberFormat="1">
      <alignment horizontal="center"/>
    </xf>
    <xf borderId="70" fillId="16" fontId="21" numFmtId="166" xfId="0" applyAlignment="1" applyBorder="1" applyFill="1" applyFont="1" applyNumberFormat="1">
      <alignment vertical="bottom"/>
    </xf>
    <xf borderId="100" fillId="16" fontId="21" numFmtId="167" xfId="0" applyAlignment="1" applyBorder="1" applyFill="1" applyFont="1" applyNumberFormat="1">
      <alignment vertical="bottom"/>
    </xf>
    <xf borderId="131" fillId="3" fontId="1" numFmtId="164" xfId="0" applyAlignment="1" applyBorder="1" applyFill="1" applyFont="1" applyNumberFormat="1">
      <alignment horizontal="center"/>
    </xf>
    <xf borderId="132" fillId="17" fontId="21" numFmtId="166" xfId="0" applyAlignment="1" applyBorder="1" applyFill="1" applyFont="1" applyNumberFormat="1">
      <alignment vertical="bottom"/>
    </xf>
    <xf borderId="133" fillId="17" fontId="21" numFmtId="167" xfId="0" applyAlignment="1" applyBorder="1" applyFill="1" applyFont="1" applyNumberFormat="1">
      <alignment vertical="bottom"/>
    </xf>
    <xf borderId="132" fillId="16" fontId="21" numFmtId="166" xfId="0" applyAlignment="1" applyBorder="1" applyFill="1" applyFont="1" applyNumberFormat="1">
      <alignment vertical="bottom"/>
    </xf>
    <xf borderId="133" fillId="16" fontId="21" numFmtId="167" xfId="0" applyAlignment="1" applyBorder="1" applyFill="1" applyFont="1" applyNumberFormat="1">
      <alignment vertical="bottom"/>
    </xf>
    <xf borderId="0" fillId="0" fontId="17" numFmtId="173" xfId="0" applyAlignment="1" applyFont="1" applyNumberFormat="1">
      <alignment horizontal="left" readingOrder="0"/>
    </xf>
    <xf borderId="66" fillId="3" fontId="1" numFmtId="166" xfId="0" applyAlignment="1" applyBorder="1" applyFill="1" applyFont="1" applyNumberFormat="1">
      <alignment horizontal="center" readingOrder="0" vertical="top"/>
    </xf>
    <xf borderId="67" fillId="3" fontId="1" numFmtId="164" xfId="0" applyAlignment="1" applyBorder="1" applyFill="1" applyFont="1" applyNumberFormat="1">
      <alignment horizontal="center" readingOrder="0"/>
    </xf>
    <xf borderId="134" fillId="3" fontId="1" numFmtId="166" xfId="0" applyAlignment="1" applyBorder="1" applyFill="1" applyFont="1" applyNumberFormat="1">
      <alignment horizontal="center" vertical="top"/>
    </xf>
    <xf borderId="123" fillId="3" fontId="1" numFmtId="167" xfId="0" applyAlignment="1" applyBorder="1" applyFill="1" applyFont="1" applyNumberFormat="1">
      <alignment horizontal="center"/>
    </xf>
    <xf borderId="125" fillId="3" fontId="1" numFmtId="164" xfId="0" applyAlignment="1" applyBorder="1" applyFill="1" applyFont="1" applyNumberFormat="1">
      <alignment horizontal="center"/>
    </xf>
    <xf borderId="73" fillId="3" fontId="1" numFmtId="164" xfId="0" applyAlignment="1" applyBorder="1" applyFill="1" applyFont="1" applyNumberFormat="1">
      <alignment horizontal="center" readingOrder="0"/>
    </xf>
    <xf borderId="135" fillId="3" fontId="1" numFmtId="166" xfId="0" applyAlignment="1" applyBorder="1" applyFill="1" applyFont="1" applyNumberFormat="1">
      <alignment horizontal="center" vertical="top"/>
    </xf>
    <xf borderId="73" fillId="3" fontId="1" numFmtId="164" xfId="0" applyAlignment="1" applyBorder="1" applyFill="1" applyFont="1" applyNumberFormat="1">
      <alignment horizontal="center"/>
    </xf>
    <xf borderId="136" fillId="3" fontId="1" numFmtId="164" xfId="0" applyAlignment="1" applyBorder="1" applyFill="1" applyFont="1" applyNumberFormat="1">
      <alignment horizontal="center"/>
    </xf>
    <xf borderId="137" fillId="3" fontId="1" numFmtId="166" xfId="0" applyAlignment="1" applyBorder="1" applyFill="1" applyFont="1" applyNumberFormat="1">
      <alignment horizontal="center" vertical="top"/>
    </xf>
    <xf borderId="64" fillId="3" fontId="1" numFmtId="167" xfId="0" applyBorder="1" applyFill="1" applyFont="1" applyNumberFormat="1"/>
    <xf borderId="67" fillId="3" fontId="1" numFmtId="164" xfId="0" applyAlignment="1" applyBorder="1" applyFill="1" applyFont="1" applyNumberFormat="1">
      <alignment horizontal="center"/>
    </xf>
    <xf borderId="72" fillId="3" fontId="1" numFmtId="14" xfId="0" applyAlignment="1" applyBorder="1" applyFill="1" applyFont="1" applyNumberFormat="1">
      <alignment horizontal="center" readingOrder="0" vertical="top"/>
    </xf>
    <xf borderId="65" fillId="11" fontId="1" numFmtId="164" xfId="0" applyAlignment="1" applyBorder="1" applyFill="1" applyFont="1" applyNumberFormat="1">
      <alignment horizontal="center" readingOrder="0"/>
    </xf>
    <xf borderId="134" fillId="3" fontId="1" numFmtId="166" xfId="0" applyAlignment="1" applyBorder="1" applyFill="1" applyFont="1" applyNumberFormat="1">
      <alignment horizontal="center" readingOrder="0" vertical="top"/>
    </xf>
    <xf borderId="135" fillId="3" fontId="1" numFmtId="166" xfId="0" applyAlignment="1" applyBorder="1" applyFill="1" applyFont="1" applyNumberFormat="1">
      <alignment horizontal="center" readingOrder="0" vertical="top"/>
    </xf>
    <xf borderId="135" fillId="3" fontId="1" numFmtId="14" xfId="0" applyAlignment="1" applyBorder="1" applyFill="1" applyFont="1" applyNumberFormat="1">
      <alignment horizontal="center" readingOrder="0" vertical="top"/>
    </xf>
    <xf borderId="136" fillId="3" fontId="1" numFmtId="164" xfId="0" applyAlignment="1" applyBorder="1" applyFill="1" applyFont="1" applyNumberFormat="1">
      <alignment horizontal="center" readingOrder="0"/>
    </xf>
    <xf borderId="72" fillId="3" fontId="1" numFmtId="173" xfId="0" applyAlignment="1" applyBorder="1" applyFill="1" applyFont="1" applyNumberFormat="1">
      <alignment horizontal="center" readingOrder="0" vertical="top"/>
    </xf>
    <xf borderId="2" fillId="2" fontId="22" numFmtId="0" xfId="0" applyAlignment="1" applyBorder="1" applyFill="1" applyFont="1">
      <alignment horizontal="center" shrinkToFit="0" textRotation="90" vertical="center" wrapText="1"/>
    </xf>
    <xf borderId="89" fillId="3" fontId="6" numFmtId="164" xfId="0" applyAlignment="1" applyBorder="1" applyFill="1" applyFont="1" applyNumberFormat="1">
      <alignment horizontal="center"/>
    </xf>
    <xf borderId="2" fillId="2" fontId="22" numFmtId="0" xfId="0" applyAlignment="1" applyBorder="1" applyFill="1" applyFont="1">
      <alignment shrinkToFit="0" textRotation="90" vertical="center" wrapText="1"/>
    </xf>
    <xf borderId="2" fillId="2" fontId="1" numFmtId="166" xfId="0" applyAlignment="1" applyBorder="1" applyFill="1" applyFont="1" applyNumberFormat="1">
      <alignment horizontal="center" vertical="top"/>
    </xf>
    <xf borderId="2" fillId="2" fontId="1" numFmtId="167" xfId="0" applyBorder="1" applyFill="1" applyFont="1" applyNumberFormat="1"/>
    <xf borderId="138" fillId="2" fontId="22" numFmtId="0" xfId="0" applyAlignment="1" applyBorder="1" applyFill="1" applyFont="1">
      <alignment shrinkToFit="0" textRotation="90" vertical="center" wrapText="1"/>
    </xf>
    <xf borderId="139" fillId="2" fontId="22" numFmtId="0" xfId="0" applyAlignment="1" applyBorder="1" applyFill="1" applyFont="1">
      <alignment shrinkToFit="0" textRotation="90" vertical="center" wrapText="1"/>
    </xf>
    <xf borderId="139" fillId="0" fontId="22" numFmtId="0" xfId="0" applyAlignment="1" applyBorder="1" applyFont="1">
      <alignment shrinkToFit="0" textRotation="90" vertical="center" wrapText="1"/>
    </xf>
    <xf borderId="0" fillId="0" fontId="1" numFmtId="166" xfId="0" applyAlignment="1" applyFont="1" applyNumberFormat="1">
      <alignment horizontal="center" vertical="top"/>
    </xf>
    <xf borderId="0" fillId="0" fontId="1" numFmtId="167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1990725</xdr:colOff>
      <xdr:row>0</xdr:row>
      <xdr:rowOff>19050</xdr:rowOff>
    </xdr:from>
    <xdr:ext cx="30575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152400</xdr:rowOff>
    </xdr:from>
    <xdr:ext cx="12363450" cy="6372225"/>
    <xdr:sp>
      <xdr:nvSpPr>
        <xdr:cNvPr id="3" name="Shape 3"/>
        <xdr:cNvSpPr txBox="1"/>
      </xdr:nvSpPr>
      <xdr:spPr>
        <a:xfrm>
          <a:off x="0" y="598650"/>
          <a:ext cx="10692000" cy="6362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1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B050"/>
            </a:buClr>
            <a:buSzPts val="1100"/>
            <a:buFont typeface="Calibri"/>
            <a:buNone/>
          </a:pPr>
          <a:r>
            <a:rPr b="1" lang="en-US" sz="1100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NORMAS PARA PREENCHIMENTO E ENVIO DO RDM E RDA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RDM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Relatório de Despesas Mensais.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RDA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Relatório de Despesas de Alimentação.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que é o RDM?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Este relatório é utilizado para o controle de caixa, tanto da Petermann quanto do Funcionário, de forma a contribuir para ambos os controles financeiros. São contabilizados, despesas de viagens (combustível, hospedagens, oficina e outros), a alimentação não faz parte do RDM;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que é o RDA?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Este relatório é utilizado para o controle de caixa, tanto da Petermann quanto do Funcionário, de forma a contribuir para ambos os controles financeiros. São contabilizados, despesas de alimentação (referente ao montante mensal/proporcional de R$1.500,00);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Como preencher RDM e RDA?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Todos os funcionários da Petermann, são responsáveis pelos gastos relacionados ao RDM. Portanto, qualquer gasto sem o devido preenchimento (ou declaração do gasto) se tornará dificultoso o acerto entre Empresa e Empregado. Obedeça de forma rigorosa cada coluna da planilha, informando seus dados desde a aba 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CABEÇALHO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BANCO DE DADOS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RDM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RDA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Banco de Dados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é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OBRIGATÓRIO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preenchimento dos dados recebidos pela Petermann, no Banco de Dados, tanto de RDM quanto de RDA, bem como o preenchimento obrigatório das abas de RDM/RDA. Pois eles irão alerta los dos seus controles. Na aba de Banco de Dados, nas colunas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A-10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E-10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irão informar o saldo negativo para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vermelho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caso o Funcionário tiver valor a receber da Empresa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), e saldo positivo para </a:t>
          </a:r>
          <a:r>
            <a:rPr b="1" lang="en-US" sz="1100">
              <a:solidFill>
                <a:srgbClr val="00B050"/>
              </a:solidFill>
              <a:latin typeface="Calibri"/>
              <a:ea typeface="Calibri"/>
              <a:cs typeface="Calibri"/>
              <a:sym typeface="Calibri"/>
            </a:rPr>
            <a:t>verde </a:t>
          </a:r>
          <a:r>
            <a:rPr b="0" i="0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b="0" i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caso o Empresa tiver crédito com o Funcionário</a:t>
          </a:r>
          <a:r>
            <a:rPr b="0" i="0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Como recebo o RDM?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Petermann deposita ao Empregado, um valor simbólico para as despesas com viagens.  E quando o valor gasto pelo empregado exceder, o mesmo deverá comunicar ao seu chefe para o reembolso de forma ágil para não haver acumulação de valores a ser recebido pelo Funcionário. OBS.: a cada R$ 500,00 excedido do seu RDM (que você utilizou do seu bolso) deverá sempre ser informado ao seu chefe;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Como recebo o RDA?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 Petermann deposita ao Empregado o valor mensal/proporcional 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R$1.500,00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divididos em duas vezes no mês, ou seja, por quinzena, podendo ser a primeira parte no inicio do mês e a segunda parte após 15 dias e/ou a combianar; O valor 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R$1.500,00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é calculado uma diária 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R$50,00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e é pago de forma propocional aos dias de trabalho. Se você trabalhar dias do mês o valor será de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R$ 750,00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;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Quando enviar o RDM/RDA?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até o 5º dia útil de cada mês deverá ser enviado para o e mail: </a:t>
          </a:r>
          <a:r>
            <a:rPr lang="en-US" sz="1100" u="sng">
              <a:solidFill>
                <a:srgbClr val="0070C0"/>
              </a:solidFill>
              <a:latin typeface="Calibri"/>
              <a:ea typeface="Calibri"/>
              <a:cs typeface="Calibri"/>
              <a:sym typeface="Calibri"/>
            </a:rPr>
            <a:t>contas.nf@pmservicosagronomicos.com.br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INDEPENDENTE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de ter ou não valor a receber;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1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Quando recebo o RDM em caso de valor excedente?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funcionário que tiver valor a receber de RDM poderá levar até 30 dias para ter o reembolso caso ele não enviar os relatórios até o 5º dia útil do mês, ou até o dia 10º dia útil de cada mês caso envie no período correto.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ISSO É UMA NORMA DA EMPRESA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portanto tenha o seu controle em dias.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À direção!</a:t>
          </a:r>
          <a:endParaRPr sz="1400"/>
        </a:p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Petermann &amp; Morais LTDA</a:t>
          </a:r>
          <a:endParaRPr sz="1100"/>
        </a:p>
      </xdr:txBody>
    </xdr:sp>
    <xdr:clientData fLocksWithSheet="0"/>
  </xdr:oneCellAnchor>
  <xdr:oneCellAnchor>
    <xdr:from>
      <xdr:col>0</xdr:col>
      <xdr:colOff>114300</xdr:colOff>
      <xdr:row>4</xdr:row>
      <xdr:rowOff>76200</xdr:rowOff>
    </xdr:from>
    <xdr:ext cx="30575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9525</xdr:rowOff>
    </xdr:from>
    <xdr:ext cx="3457575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695325" cy="762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752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7.0"/>
    <col customWidth="1" min="2" max="2" width="14.0"/>
    <col customWidth="1" min="3" max="7" width="9.14"/>
    <col customWidth="1" min="8" max="8" width="22.43"/>
    <col customWidth="1" min="9" max="9" width="77.29"/>
    <col customWidth="1" min="10" max="26" width="9.14"/>
  </cols>
  <sheetData>
    <row r="1">
      <c r="A1" s="1"/>
      <c r="B1" s="4"/>
      <c r="C1" s="6"/>
      <c r="D1" s="6" t="s">
        <v>0</v>
      </c>
      <c r="E1" s="4"/>
      <c r="F1" s="4"/>
      <c r="G1" s="4"/>
      <c r="H1" s="4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8"/>
      <c r="C2" s="11"/>
      <c r="D2" s="11" t="s">
        <v>1</v>
      </c>
      <c r="E2" s="8"/>
      <c r="F2" s="8"/>
      <c r="G2" s="8"/>
      <c r="H2" s="8"/>
      <c r="I2" s="1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8"/>
      <c r="C3" s="11"/>
      <c r="D3" s="11" t="s">
        <v>3</v>
      </c>
      <c r="E3" s="8"/>
      <c r="F3" s="8"/>
      <c r="G3" s="8"/>
      <c r="H3" s="8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8"/>
      <c r="C4" s="11"/>
      <c r="D4" s="11" t="s">
        <v>4</v>
      </c>
      <c r="E4" s="8"/>
      <c r="F4" s="8"/>
      <c r="G4" s="8"/>
      <c r="H4" s="8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8" t="s">
        <v>5</v>
      </c>
      <c r="B5" s="19"/>
      <c r="C5" s="19"/>
      <c r="D5" s="19"/>
      <c r="E5" s="19"/>
      <c r="F5" s="19"/>
      <c r="G5" s="19"/>
      <c r="H5" s="19"/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3" t="s">
        <v>7</v>
      </c>
      <c r="B6" s="26" t="s">
        <v>8</v>
      </c>
      <c r="C6" s="28"/>
      <c r="D6" s="28"/>
      <c r="E6" s="28"/>
      <c r="F6" s="28"/>
      <c r="G6" s="28"/>
      <c r="H6" s="28"/>
      <c r="I6" s="3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2" t="s">
        <v>10</v>
      </c>
      <c r="B7" s="36" t="s">
        <v>11</v>
      </c>
      <c r="C7" s="35"/>
      <c r="D7" s="35"/>
      <c r="E7" s="35"/>
      <c r="F7" s="35"/>
      <c r="G7" s="38"/>
      <c r="H7" s="39" t="s">
        <v>12</v>
      </c>
      <c r="I7" s="40">
        <v>2026.0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46" t="s">
        <v>16</v>
      </c>
      <c r="B8" s="47"/>
      <c r="C8" s="47"/>
      <c r="D8" s="47"/>
      <c r="E8" s="47"/>
      <c r="F8" s="47"/>
      <c r="G8" s="47"/>
      <c r="H8" s="47"/>
      <c r="I8" s="4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50"/>
      <c r="I9" s="5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50"/>
      <c r="I10" s="5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50"/>
      <c r="I11" s="5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50"/>
      <c r="I12" s="5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50"/>
      <c r="I13" s="5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50"/>
      <c r="I14" s="5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50"/>
      <c r="I15" s="5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50"/>
      <c r="I16" s="5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50"/>
      <c r="I17" s="5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50"/>
      <c r="I18" s="5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7.5" customHeight="1">
      <c r="A19" s="50"/>
      <c r="I19" s="5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0.75" hidden="1" customHeight="1">
      <c r="A20" s="50"/>
      <c r="I20" s="5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5.25" hidden="1" customHeight="1">
      <c r="A21" s="50"/>
      <c r="I21" s="5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0" hidden="1" customHeight="1">
      <c r="A22" s="50"/>
      <c r="I22" s="5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0" hidden="1" customHeight="1">
      <c r="A23" s="50"/>
      <c r="I23" s="5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0" hidden="1" customHeight="1">
      <c r="A24" s="50"/>
      <c r="I24" s="5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0" hidden="1" customHeight="1">
      <c r="A25" s="50"/>
      <c r="I25" s="5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hidden="1" customHeight="1">
      <c r="A26" s="50"/>
      <c r="I26" s="5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0" hidden="1" customHeight="1">
      <c r="A27" s="50"/>
      <c r="I27" s="5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0" hidden="1" customHeight="1">
      <c r="A28" s="50"/>
      <c r="I28" s="5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0" hidden="1" customHeight="1">
      <c r="A29" s="50"/>
      <c r="I29" s="5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hidden="1" customHeight="1">
      <c r="A30" s="50"/>
      <c r="I30" s="5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0" hidden="1" customHeight="1">
      <c r="A31" s="50"/>
      <c r="I31" s="5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0" hidden="1" customHeight="1">
      <c r="A32" s="50"/>
      <c r="I32" s="5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hidden="1" customHeight="1">
      <c r="A33" s="50"/>
      <c r="I33" s="5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50"/>
      <c r="I34" s="5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76"/>
      <c r="B35" s="77"/>
      <c r="C35" s="77"/>
      <c r="D35" s="77"/>
      <c r="E35" s="77"/>
      <c r="F35" s="77"/>
      <c r="G35" s="77"/>
      <c r="H35" s="77"/>
      <c r="I35" s="7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A5:I5"/>
    <mergeCell ref="B6:I6"/>
    <mergeCell ref="B7:G7"/>
    <mergeCell ref="A8:I3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 outlineLevelRow="1"/>
  <cols>
    <col customWidth="1" min="1" max="6" width="9.14"/>
    <col customWidth="1" min="7" max="26" width="8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 outlineLevelRow="1"/>
  <cols>
    <col customWidth="1" min="1" max="1" width="3.43"/>
    <col customWidth="1" min="2" max="2" width="17.43"/>
    <col customWidth="1" min="3" max="3" width="13.29"/>
    <col customWidth="1" min="4" max="4" width="8.71"/>
    <col customWidth="1" min="5" max="5" width="4.14"/>
    <col customWidth="1" min="6" max="7" width="9.14"/>
    <col customWidth="1" min="8" max="8" width="13.86"/>
    <col customWidth="1" min="9" max="9" width="9.14"/>
    <col customWidth="1" min="10" max="11" width="4.29"/>
    <col customWidth="1" min="12" max="12" width="12.43"/>
    <col customWidth="1" min="13" max="24" width="10.71"/>
    <col customWidth="1" min="25" max="27" width="8.71"/>
  </cols>
  <sheetData>
    <row r="1">
      <c r="A1" s="2"/>
      <c r="B1" s="2"/>
      <c r="C1" s="2"/>
      <c r="D1" s="2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5"/>
      <c r="F3" s="2"/>
      <c r="G3" s="2"/>
      <c r="H3" s="2"/>
      <c r="I3" s="2"/>
      <c r="J3" s="2"/>
      <c r="K3" s="2"/>
      <c r="L3" s="16" t="str">
        <f>B5</f>
        <v>Cleiton Queiroz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2" t="s">
        <v>6</v>
      </c>
      <c r="M4" s="24"/>
      <c r="N4" s="24"/>
      <c r="O4" s="24"/>
      <c r="P4" s="24"/>
      <c r="Q4" s="24"/>
      <c r="R4" s="27"/>
      <c r="S4" s="33">
        <f>'CABEÇALHO'!I7</f>
        <v>2026</v>
      </c>
      <c r="T4" s="24"/>
      <c r="U4" s="24"/>
      <c r="V4" s="24"/>
      <c r="W4" s="24"/>
      <c r="X4" s="27"/>
      <c r="Y4" s="2"/>
      <c r="Z4" s="2"/>
      <c r="AA4" s="2"/>
    </row>
    <row r="5">
      <c r="A5" s="2"/>
      <c r="B5" s="34" t="str">
        <f>'CABEÇALHO'!B6</f>
        <v>Cleiton Queiroz</v>
      </c>
      <c r="C5" s="35"/>
      <c r="D5" s="35"/>
      <c r="E5" s="35"/>
      <c r="F5" s="35"/>
      <c r="G5" s="35"/>
      <c r="H5" s="37"/>
      <c r="I5" s="41">
        <f>'CABEÇALHO'!I7</f>
        <v>2026</v>
      </c>
      <c r="J5" s="38"/>
      <c r="K5" s="42"/>
      <c r="L5" s="43" t="s">
        <v>13</v>
      </c>
      <c r="M5" s="44" t="s">
        <v>14</v>
      </c>
      <c r="N5" s="44" t="s">
        <v>15</v>
      </c>
      <c r="O5" s="44" t="s">
        <v>17</v>
      </c>
      <c r="P5" s="45" t="s">
        <v>18</v>
      </c>
      <c r="Q5" s="45" t="s">
        <v>19</v>
      </c>
      <c r="R5" s="45" t="s">
        <v>20</v>
      </c>
      <c r="S5" s="44" t="s">
        <v>21</v>
      </c>
      <c r="T5" s="44" t="s">
        <v>22</v>
      </c>
      <c r="U5" s="44" t="s">
        <v>23</v>
      </c>
      <c r="V5" s="45" t="s">
        <v>24</v>
      </c>
      <c r="W5" s="45" t="s">
        <v>25</v>
      </c>
      <c r="X5" s="43" t="s">
        <v>26</v>
      </c>
      <c r="Y5" s="2"/>
      <c r="Z5" s="2"/>
      <c r="AA5" s="2"/>
    </row>
    <row r="6">
      <c r="A6" s="2"/>
      <c r="B6" s="49" t="s">
        <v>27</v>
      </c>
      <c r="C6" s="19"/>
      <c r="D6" s="21"/>
      <c r="E6" s="52"/>
      <c r="F6" s="49" t="s">
        <v>28</v>
      </c>
      <c r="G6" s="19"/>
      <c r="H6" s="19"/>
      <c r="I6" s="19"/>
      <c r="J6" s="21"/>
      <c r="K6" s="53"/>
      <c r="L6" s="54" t="s">
        <v>29</v>
      </c>
      <c r="M6" s="55">
        <f>R.D.M.!E38</f>
        <v>1016.78</v>
      </c>
      <c r="N6" s="55">
        <f>R.D.M.!E85</f>
        <v>1886.52</v>
      </c>
      <c r="O6" s="55">
        <f>R.D.M.!E132</f>
        <v>1723.43</v>
      </c>
      <c r="P6" s="55">
        <f>R.D.M.!E179</f>
        <v>1687.34</v>
      </c>
      <c r="Q6" s="55">
        <f>R.D.M.!E226</f>
        <v>1637.64</v>
      </c>
      <c r="R6" s="55">
        <f>R.D.M.!E273</f>
        <v>365.5</v>
      </c>
      <c r="S6" s="55">
        <f>R.D.M.!E320</f>
        <v>717.47</v>
      </c>
      <c r="T6" s="55">
        <f>R.D.M.!E367</f>
        <v>6546.16</v>
      </c>
      <c r="U6" s="55">
        <f>R.D.M.!E414</f>
        <v>1114.28</v>
      </c>
      <c r="V6" s="55">
        <f>R.D.M.!E461</f>
        <v>0</v>
      </c>
      <c r="W6" s="55">
        <f>R.D.M.!E508</f>
        <v>0</v>
      </c>
      <c r="X6" s="55">
        <f>R.D.M.!E555</f>
        <v>0</v>
      </c>
      <c r="Y6" s="2"/>
      <c r="Z6" s="2"/>
      <c r="AA6" s="2"/>
    </row>
    <row r="7">
      <c r="A7" s="2"/>
      <c r="B7" s="60">
        <f>C95</f>
        <v>17182.07</v>
      </c>
      <c r="C7" s="35"/>
      <c r="D7" s="38"/>
      <c r="E7" s="61"/>
      <c r="F7" s="60">
        <f>H27</f>
        <v>5326.66</v>
      </c>
      <c r="G7" s="35"/>
      <c r="H7" s="35"/>
      <c r="I7" s="35"/>
      <c r="J7" s="38"/>
      <c r="K7" s="53"/>
      <c r="L7" s="65" t="s">
        <v>34</v>
      </c>
      <c r="M7" s="68">
        <f>SUM(M6:O6)</f>
        <v>4626.73</v>
      </c>
      <c r="N7" s="69"/>
      <c r="O7" s="70"/>
      <c r="P7" s="74">
        <f>SUM(P6:R6)</f>
        <v>3690.48</v>
      </c>
      <c r="Q7" s="69"/>
      <c r="R7" s="70"/>
      <c r="S7" s="68">
        <f>SUM(S6:U6)</f>
        <v>8377.91</v>
      </c>
      <c r="T7" s="69"/>
      <c r="U7" s="70"/>
      <c r="V7" s="74">
        <f>SUM(V6:X6)</f>
        <v>0</v>
      </c>
      <c r="W7" s="69"/>
      <c r="X7" s="70"/>
      <c r="Y7" s="2"/>
      <c r="Z7" s="2"/>
      <c r="AA7" s="2"/>
    </row>
    <row r="8">
      <c r="A8" s="2"/>
      <c r="B8" s="84" t="s">
        <v>40</v>
      </c>
      <c r="C8" s="35"/>
      <c r="D8" s="38"/>
      <c r="E8" s="61"/>
      <c r="F8" s="84" t="s">
        <v>41</v>
      </c>
      <c r="G8" s="35"/>
      <c r="H8" s="35"/>
      <c r="I8" s="35"/>
      <c r="J8" s="38"/>
      <c r="K8" s="53"/>
      <c r="L8" s="87" t="s">
        <v>42</v>
      </c>
      <c r="M8" s="88">
        <f>R.D.A!G21</f>
        <v>2867.73</v>
      </c>
      <c r="N8" s="88">
        <f>R.D.A!G38</f>
        <v>1634.43</v>
      </c>
      <c r="O8" s="88">
        <f>R.D.A!G55</f>
        <v>1615.48</v>
      </c>
      <c r="P8" s="88">
        <f>R.D.A!G72</f>
        <v>1676.5</v>
      </c>
      <c r="Q8" s="88">
        <f>R.D.A!G89</f>
        <v>1983.55</v>
      </c>
      <c r="R8" s="88">
        <f>R.D.A!G106</f>
        <v>447.75</v>
      </c>
      <c r="S8" s="88">
        <f>R.D.A!G123</f>
        <v>1204.1</v>
      </c>
      <c r="T8" s="88">
        <f>R.D.A!G140</f>
        <v>1076.4</v>
      </c>
      <c r="U8" s="88">
        <f>R.D.A!G157</f>
        <v>1432.63</v>
      </c>
      <c r="V8" s="88">
        <f>R.D.A!G174</f>
        <v>0</v>
      </c>
      <c r="W8" s="88">
        <f>R.D.A!G191</f>
        <v>0</v>
      </c>
      <c r="X8" s="88">
        <f>R.D.A!G208</f>
        <v>0</v>
      </c>
      <c r="Y8" s="2"/>
      <c r="Z8" s="2"/>
      <c r="AA8" s="2"/>
    </row>
    <row r="9">
      <c r="A9" s="2"/>
      <c r="B9" s="60">
        <f>R.D.M.!D2</f>
        <v>16695.12</v>
      </c>
      <c r="C9" s="35"/>
      <c r="D9" s="38"/>
      <c r="E9" s="61"/>
      <c r="F9" s="60">
        <f>SUM(R.D.A!G21+R.D.A!G38+R.D.A!G55+R.D.A!G72+R.D.A!G89+R.D.A!G106+R.D.A!G123+R.D.A!G140+R.D.A!G157+R.D.A!G174+R.D.A!G191+R.D.A!G208)</f>
        <v>13938.57</v>
      </c>
      <c r="G9" s="35"/>
      <c r="H9" s="35"/>
      <c r="I9" s="35"/>
      <c r="J9" s="38"/>
      <c r="K9" s="53"/>
      <c r="L9" s="65" t="s">
        <v>34</v>
      </c>
      <c r="M9" s="68">
        <f>SUM(M8:O8)</f>
        <v>6117.64</v>
      </c>
      <c r="N9" s="69"/>
      <c r="O9" s="70"/>
      <c r="P9" s="74">
        <f>SUM(P8:R8)</f>
        <v>4107.8</v>
      </c>
      <c r="Q9" s="69"/>
      <c r="R9" s="70"/>
      <c r="S9" s="68">
        <f>SUM(S8:U8)</f>
        <v>3713.13</v>
      </c>
      <c r="T9" s="69"/>
      <c r="U9" s="70"/>
      <c r="V9" s="74">
        <f>SUM(V8:X8)</f>
        <v>0</v>
      </c>
      <c r="W9" s="69"/>
      <c r="X9" s="70"/>
      <c r="Y9" s="2"/>
      <c r="Z9" s="2"/>
      <c r="AA9" s="2"/>
    </row>
    <row r="10">
      <c r="A10" s="2"/>
      <c r="B10" s="108" t="s">
        <v>49</v>
      </c>
      <c r="C10" s="35"/>
      <c r="D10" s="38"/>
      <c r="E10" s="52"/>
      <c r="F10" s="108" t="s">
        <v>50</v>
      </c>
      <c r="G10" s="35"/>
      <c r="H10" s="35"/>
      <c r="I10" s="35"/>
      <c r="J10" s="38"/>
      <c r="K10" s="53"/>
      <c r="L10" s="110" t="s">
        <v>51</v>
      </c>
      <c r="M10" s="111">
        <f>SUM(M7,M9)</f>
        <v>10744.37</v>
      </c>
      <c r="N10" s="112"/>
      <c r="O10" s="113"/>
      <c r="P10" s="114">
        <f>SUM(P7,P9)</f>
        <v>7798.28</v>
      </c>
      <c r="Q10" s="112"/>
      <c r="R10" s="113"/>
      <c r="S10" s="111">
        <f>SUM(S7,S9)</f>
        <v>12091.04</v>
      </c>
      <c r="T10" s="112"/>
      <c r="U10" s="113"/>
      <c r="V10" s="114">
        <f>SUM(V7,V9)</f>
        <v>0</v>
      </c>
      <c r="W10" s="112"/>
      <c r="X10" s="113"/>
      <c r="Y10" s="2"/>
      <c r="Z10" s="2"/>
      <c r="AA10" s="2"/>
    </row>
    <row r="11">
      <c r="A11" s="2"/>
      <c r="B11" s="60">
        <f>B7-B9</f>
        <v>486.95</v>
      </c>
      <c r="C11" s="35"/>
      <c r="D11" s="38"/>
      <c r="E11" s="52"/>
      <c r="F11" s="60">
        <f>F7-F9</f>
        <v>-8611.91</v>
      </c>
      <c r="G11" s="35"/>
      <c r="H11" s="35"/>
      <c r="I11" s="35"/>
      <c r="J11" s="38"/>
      <c r="K11" s="53"/>
      <c r="L11" s="115" t="s">
        <v>52</v>
      </c>
      <c r="M11" s="116">
        <f>SUM(M10,P10,S10,V10)</f>
        <v>30633.69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17"/>
      <c r="Y11" s="2"/>
      <c r="Z11" s="2"/>
      <c r="AA11" s="2"/>
    </row>
    <row r="12" ht="33.75" customHeight="1">
      <c r="A12" s="2"/>
      <c r="B12" s="118" t="s">
        <v>53</v>
      </c>
      <c r="C12" s="28"/>
      <c r="D12" s="119"/>
      <c r="E12" s="120"/>
      <c r="F12" s="121" t="s">
        <v>54</v>
      </c>
      <c r="G12" s="122"/>
      <c r="H12" s="122"/>
      <c r="I12" s="122"/>
      <c r="J12" s="123"/>
      <c r="K12" s="5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124" t="s">
        <v>55</v>
      </c>
      <c r="C13" s="38"/>
      <c r="D13" s="125"/>
      <c r="E13" s="126"/>
      <c r="F13" s="127" t="s">
        <v>56</v>
      </c>
      <c r="G13" s="35"/>
      <c r="H13" s="3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0" customHeight="1">
      <c r="A14" s="2"/>
      <c r="B14" s="128" t="s">
        <v>36</v>
      </c>
      <c r="C14" s="129" t="s">
        <v>38</v>
      </c>
      <c r="D14" s="125"/>
      <c r="E14" s="126"/>
      <c r="F14" s="124" t="s">
        <v>36</v>
      </c>
      <c r="G14" s="130"/>
      <c r="H14" s="131" t="s">
        <v>38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0" customHeight="1">
      <c r="A15" s="2"/>
      <c r="B15" s="133">
        <v>46047.0</v>
      </c>
      <c r="C15" s="135">
        <v>500.5</v>
      </c>
      <c r="D15" s="125"/>
      <c r="E15" s="126"/>
      <c r="F15" s="138">
        <v>46062.0</v>
      </c>
      <c r="G15" s="140"/>
      <c r="H15" s="142">
        <v>426.66</v>
      </c>
      <c r="I15" s="2"/>
      <c r="J15" s="2"/>
      <c r="K15" s="2"/>
      <c r="L15" s="2"/>
      <c r="M15" s="2"/>
      <c r="N15" s="2"/>
      <c r="O15" s="2"/>
      <c r="P15" s="2"/>
      <c r="Q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33">
        <v>46055.0</v>
      </c>
      <c r="C16" s="135">
        <v>1000.0</v>
      </c>
      <c r="D16" s="125"/>
      <c r="E16" s="126"/>
      <c r="F16" s="144">
        <v>46062.0</v>
      </c>
      <c r="G16" s="145"/>
      <c r="H16" s="147">
        <v>1600.0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33">
        <v>46084.0</v>
      </c>
      <c r="C17" s="135">
        <v>1500.0</v>
      </c>
      <c r="D17" s="125"/>
      <c r="E17" s="126"/>
      <c r="F17" s="144">
        <v>46096.0</v>
      </c>
      <c r="G17" s="145"/>
      <c r="H17" s="147">
        <v>1600.0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33">
        <v>46096.0</v>
      </c>
      <c r="C18" s="135">
        <v>700.0</v>
      </c>
      <c r="D18" s="125"/>
      <c r="E18" s="126"/>
      <c r="F18" s="144">
        <v>46121.0</v>
      </c>
      <c r="G18" s="145"/>
      <c r="H18" s="147">
        <v>1700.0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33">
        <v>46121.0</v>
      </c>
      <c r="C19" s="135">
        <v>2000.0</v>
      </c>
      <c r="D19" s="125"/>
      <c r="E19" s="126"/>
      <c r="F19" s="150"/>
      <c r="G19" s="145"/>
      <c r="H19" s="14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33">
        <v>46160.0</v>
      </c>
      <c r="C20" s="135">
        <v>1081.57</v>
      </c>
      <c r="D20" s="125"/>
      <c r="E20" s="126"/>
      <c r="F20" s="150"/>
      <c r="G20" s="145"/>
      <c r="H20" s="15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133">
        <v>46169.0</v>
      </c>
      <c r="C21" s="135">
        <v>1000.0</v>
      </c>
      <c r="D21" s="125"/>
      <c r="E21" s="126"/>
      <c r="F21" s="150"/>
      <c r="G21" s="145"/>
      <c r="H21" s="15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133">
        <v>46228.0</v>
      </c>
      <c r="C22" s="135">
        <v>2000.0</v>
      </c>
      <c r="D22" s="125"/>
      <c r="E22" s="126"/>
      <c r="F22" s="150"/>
      <c r="G22" s="145"/>
      <c r="H22" s="15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133">
        <v>46246.0</v>
      </c>
      <c r="C23" s="135">
        <v>1000.0</v>
      </c>
      <c r="D23" s="125"/>
      <c r="E23" s="126"/>
      <c r="F23" s="155"/>
      <c r="G23" s="155"/>
      <c r="H23" s="15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133">
        <v>46252.0</v>
      </c>
      <c r="C24" s="135">
        <v>1400.0</v>
      </c>
      <c r="D24" s="125"/>
      <c r="E24" s="126"/>
      <c r="F24" s="150"/>
      <c r="G24" s="145"/>
      <c r="H24" s="15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133">
        <v>46259.0</v>
      </c>
      <c r="C25" s="135">
        <v>3000.0</v>
      </c>
      <c r="D25" s="125"/>
      <c r="E25" s="126"/>
      <c r="F25" s="150"/>
      <c r="G25" s="145"/>
      <c r="H25" s="15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133">
        <v>46267.0</v>
      </c>
      <c r="C26" s="135">
        <v>1000.0</v>
      </c>
      <c r="D26" s="125"/>
      <c r="E26" s="126"/>
      <c r="F26" s="158"/>
      <c r="G26" s="145"/>
      <c r="H26" s="15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133">
        <v>46269.0</v>
      </c>
      <c r="C27" s="135">
        <v>1000.0</v>
      </c>
      <c r="D27" s="125"/>
      <c r="E27" s="126"/>
      <c r="F27" s="162" t="s">
        <v>61</v>
      </c>
      <c r="G27" s="123"/>
      <c r="H27" s="163">
        <f>SUM(H15:H26)</f>
        <v>5326.66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164"/>
      <c r="C28" s="165"/>
      <c r="D28" s="125"/>
      <c r="E28" s="126"/>
      <c r="F28" s="166" t="s">
        <v>67</v>
      </c>
      <c r="G28" s="37"/>
      <c r="H28" s="167">
        <f>F9</f>
        <v>13938.57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133"/>
      <c r="C29" s="165"/>
      <c r="D29" s="125"/>
      <c r="E29" s="126"/>
      <c r="F29" s="168" t="s">
        <v>31</v>
      </c>
      <c r="G29" s="37"/>
      <c r="H29" s="169">
        <f>H27-H28</f>
        <v>-8611.91</v>
      </c>
      <c r="I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164"/>
      <c r="C30" s="165"/>
      <c r="D30" s="125"/>
      <c r="E30" s="12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170"/>
      <c r="C31" s="165"/>
      <c r="D31" s="125"/>
      <c r="E31" s="12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164"/>
      <c r="C32" s="165"/>
      <c r="D32" s="125"/>
      <c r="E32" s="1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164"/>
      <c r="C33" s="165"/>
      <c r="D33" s="125"/>
      <c r="E33" s="12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164"/>
      <c r="C34" s="165"/>
      <c r="D34" s="125"/>
      <c r="E34" s="12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164"/>
      <c r="C35" s="165"/>
      <c r="D35" s="125"/>
      <c r="E35" s="12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164"/>
      <c r="C36" s="165"/>
      <c r="D36" s="125"/>
      <c r="E36" s="12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164"/>
      <c r="C37" s="165"/>
      <c r="D37" s="125"/>
      <c r="E37" s="12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170"/>
      <c r="C38" s="165"/>
      <c r="D38" s="125"/>
      <c r="E38" s="12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164"/>
      <c r="C39" s="165"/>
      <c r="D39" s="125"/>
      <c r="E39" s="12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164"/>
      <c r="C40" s="165"/>
      <c r="D40" s="125"/>
      <c r="E40" s="12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164"/>
      <c r="C41" s="165"/>
      <c r="D41" s="125"/>
      <c r="E41" s="12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164"/>
      <c r="C42" s="165"/>
      <c r="D42" s="125"/>
      <c r="E42" s="12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164"/>
      <c r="C43" s="165"/>
      <c r="D43" s="125"/>
      <c r="E43" s="12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164"/>
      <c r="C44" s="165"/>
      <c r="D44" s="125"/>
      <c r="E44" s="12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164"/>
      <c r="C45" s="165"/>
      <c r="D45" s="125"/>
      <c r="E45" s="12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170"/>
      <c r="C46" s="165"/>
      <c r="D46" s="125"/>
      <c r="E46" s="12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164"/>
      <c r="C47" s="165"/>
      <c r="D47" s="125"/>
      <c r="E47" s="12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164"/>
      <c r="C48" s="165"/>
      <c r="D48" s="125"/>
      <c r="E48" s="12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164"/>
      <c r="C49" s="165"/>
      <c r="D49" s="125"/>
      <c r="E49" s="12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164"/>
      <c r="C50" s="165"/>
      <c r="D50" s="125"/>
      <c r="E50" s="12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164"/>
      <c r="C51" s="165"/>
      <c r="D51" s="125"/>
      <c r="E51" s="12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164"/>
      <c r="C52" s="165"/>
      <c r="D52" s="125"/>
      <c r="E52" s="12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170"/>
      <c r="C53" s="165"/>
      <c r="D53" s="125"/>
      <c r="E53" s="12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164"/>
      <c r="C54" s="165"/>
      <c r="D54" s="125"/>
      <c r="E54" s="12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164"/>
      <c r="C55" s="165"/>
      <c r="D55" s="125"/>
      <c r="E55" s="12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164"/>
      <c r="C56" s="165"/>
      <c r="D56" s="125"/>
      <c r="E56" s="12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164"/>
      <c r="C57" s="165"/>
      <c r="D57" s="125"/>
      <c r="E57" s="12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164"/>
      <c r="C58" s="165"/>
      <c r="D58" s="125"/>
      <c r="E58" s="12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164"/>
      <c r="C59" s="165"/>
      <c r="D59" s="125"/>
      <c r="E59" s="12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170"/>
      <c r="C60" s="165"/>
      <c r="D60" s="125"/>
      <c r="E60" s="12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164"/>
      <c r="C61" s="165"/>
      <c r="D61" s="125"/>
      <c r="E61" s="12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164"/>
      <c r="C62" s="165"/>
      <c r="D62" s="125"/>
      <c r="E62" s="12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164"/>
      <c r="C63" s="165"/>
      <c r="D63" s="125"/>
      <c r="E63" s="12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164"/>
      <c r="C64" s="165"/>
      <c r="D64" s="125"/>
      <c r="E64" s="12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164"/>
      <c r="C65" s="165"/>
      <c r="D65" s="125"/>
      <c r="E65" s="12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164"/>
      <c r="C66" s="165"/>
      <c r="D66" s="125"/>
      <c r="E66" s="12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164"/>
      <c r="C67" s="165"/>
      <c r="D67" s="125"/>
      <c r="E67" s="12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170"/>
      <c r="C68" s="165"/>
      <c r="D68" s="125"/>
      <c r="E68" s="12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164"/>
      <c r="C69" s="165"/>
      <c r="D69" s="125"/>
      <c r="E69" s="12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164"/>
      <c r="C70" s="165"/>
      <c r="D70" s="125"/>
      <c r="E70" s="12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164"/>
      <c r="C71" s="165"/>
      <c r="D71" s="125"/>
      <c r="E71" s="12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164"/>
      <c r="C72" s="165"/>
      <c r="D72" s="125"/>
      <c r="E72" s="12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164"/>
      <c r="C73" s="165"/>
      <c r="D73" s="125"/>
      <c r="E73" s="12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164"/>
      <c r="C74" s="165"/>
      <c r="D74" s="125"/>
      <c r="E74" s="12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170"/>
      <c r="C75" s="165"/>
      <c r="D75" s="125"/>
      <c r="E75" s="12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164"/>
      <c r="C76" s="165"/>
      <c r="D76" s="125"/>
      <c r="E76" s="12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164"/>
      <c r="C77" s="165"/>
      <c r="D77" s="125"/>
      <c r="E77" s="12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164"/>
      <c r="C78" s="165"/>
      <c r="D78" s="125"/>
      <c r="E78" s="12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164"/>
      <c r="C79" s="165"/>
      <c r="D79" s="125"/>
      <c r="E79" s="12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164"/>
      <c r="C80" s="165"/>
      <c r="D80" s="125"/>
      <c r="E80" s="12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164"/>
      <c r="C81" s="165"/>
      <c r="D81" s="125"/>
      <c r="E81" s="12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170"/>
      <c r="C82" s="165"/>
      <c r="D82" s="125"/>
      <c r="E82" s="12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164"/>
      <c r="C83" s="165"/>
      <c r="D83" s="125"/>
      <c r="E83" s="12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164"/>
      <c r="C84" s="165"/>
      <c r="D84" s="125"/>
      <c r="E84" s="12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164"/>
      <c r="C85" s="165"/>
      <c r="D85" s="125"/>
      <c r="E85" s="12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164"/>
      <c r="C86" s="165"/>
      <c r="D86" s="125"/>
      <c r="E86" s="12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164"/>
      <c r="C87" s="165"/>
      <c r="D87" s="125"/>
      <c r="E87" s="12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164"/>
      <c r="C88" s="165"/>
      <c r="D88" s="125"/>
      <c r="E88" s="12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164"/>
      <c r="C89" s="165"/>
      <c r="D89" s="125"/>
      <c r="E89" s="12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170"/>
      <c r="C90" s="165"/>
      <c r="D90" s="125"/>
      <c r="E90" s="12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164"/>
      <c r="C91" s="165"/>
      <c r="D91" s="125"/>
      <c r="E91" s="12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164"/>
      <c r="C92" s="165"/>
      <c r="D92" s="125"/>
      <c r="E92" s="12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164"/>
      <c r="C93" s="165"/>
      <c r="D93" s="125"/>
      <c r="E93" s="12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164"/>
      <c r="C94" s="165"/>
      <c r="D94" s="125"/>
      <c r="E94" s="12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171" t="s">
        <v>61</v>
      </c>
      <c r="C95" s="172">
        <f>SUBTOTAL(9,C15:C94)</f>
        <v>17182.07</v>
      </c>
      <c r="D95" s="125"/>
      <c r="E95" s="12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5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5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5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5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5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autoFilter ref="$B$14:$C$27"/>
  <mergeCells count="48">
    <mergeCell ref="P7:R7"/>
    <mergeCell ref="S7:U7"/>
    <mergeCell ref="L4:R4"/>
    <mergeCell ref="S4:X4"/>
    <mergeCell ref="B5:H5"/>
    <mergeCell ref="I5:J5"/>
    <mergeCell ref="B6:D6"/>
    <mergeCell ref="F6:J6"/>
    <mergeCell ref="B7:D7"/>
    <mergeCell ref="V7:X7"/>
    <mergeCell ref="P9:R9"/>
    <mergeCell ref="S9:U9"/>
    <mergeCell ref="V9:X9"/>
    <mergeCell ref="P10:R10"/>
    <mergeCell ref="S10:U10"/>
    <mergeCell ref="V10:X10"/>
    <mergeCell ref="M11:X11"/>
    <mergeCell ref="B10:D10"/>
    <mergeCell ref="B11:D11"/>
    <mergeCell ref="B12:D12"/>
    <mergeCell ref="B13:C13"/>
    <mergeCell ref="F7:J7"/>
    <mergeCell ref="M7:O7"/>
    <mergeCell ref="B8:D8"/>
    <mergeCell ref="F8:J8"/>
    <mergeCell ref="B9:D9"/>
    <mergeCell ref="M9:O9"/>
    <mergeCell ref="M10:O10"/>
    <mergeCell ref="F9:J9"/>
    <mergeCell ref="F10:J10"/>
    <mergeCell ref="F11:J11"/>
    <mergeCell ref="F12:J12"/>
    <mergeCell ref="F13:H13"/>
    <mergeCell ref="F14:G14"/>
    <mergeCell ref="F15:G15"/>
    <mergeCell ref="F24:G24"/>
    <mergeCell ref="F25:G25"/>
    <mergeCell ref="F26:G26"/>
    <mergeCell ref="F27:G27"/>
    <mergeCell ref="F28:G28"/>
    <mergeCell ref="F29:G29"/>
    <mergeCell ref="F16:G16"/>
    <mergeCell ref="F17:G17"/>
    <mergeCell ref="F18:G18"/>
    <mergeCell ref="F19:G19"/>
    <mergeCell ref="F20:G20"/>
    <mergeCell ref="F21:G21"/>
    <mergeCell ref="F22:G22"/>
  </mergeCells>
  <conditionalFormatting sqref="B11:D11">
    <cfRule type="cellIs" dxfId="0" priority="1" operator="lessThan">
      <formula>0</formula>
    </cfRule>
  </conditionalFormatting>
  <conditionalFormatting sqref="B11:D11">
    <cfRule type="cellIs" dxfId="1" priority="2" operator="greaterThan">
      <formula>0</formula>
    </cfRule>
  </conditionalFormatting>
  <conditionalFormatting sqref="F11:K11">
    <cfRule type="cellIs" dxfId="0" priority="3" operator="lessThan">
      <formula>0</formula>
    </cfRule>
  </conditionalFormatting>
  <conditionalFormatting sqref="F11:K11">
    <cfRule type="cellIs" dxfId="1" priority="4" operator="greaterThan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 outlineLevelRow="1"/>
  <cols>
    <col customWidth="1" min="1" max="1" width="10.43"/>
    <col customWidth="1" min="2" max="2" width="11.43"/>
    <col customWidth="1" min="3" max="3" width="27.86"/>
    <col customWidth="1" min="4" max="4" width="20.71"/>
    <col customWidth="1" min="5" max="5" width="11.43"/>
    <col customWidth="1" min="6" max="6" width="27.86"/>
    <col customWidth="1" min="7" max="7" width="20.71"/>
    <col customWidth="1" min="8" max="8" width="11.43"/>
    <col customWidth="1" min="9" max="9" width="27.86"/>
    <col customWidth="1" min="10" max="10" width="20.71"/>
    <col customWidth="1" min="11" max="30" width="9.14"/>
  </cols>
  <sheetData>
    <row r="1" ht="23.25" customHeight="1">
      <c r="A1" s="10" t="str">
        <f>'CABEÇALHO'!B6</f>
        <v>Cleiton Queiroz</v>
      </c>
      <c r="B1" s="13" t="s">
        <v>2</v>
      </c>
      <c r="C1" s="14"/>
      <c r="D1" s="14"/>
      <c r="E1" s="14"/>
      <c r="F1" s="15"/>
      <c r="G1" s="17" t="str">
        <f>'CABEÇALHO'!B6</f>
        <v>Cleiton Queiroz</v>
      </c>
      <c r="H1" s="14"/>
      <c r="I1" s="15"/>
      <c r="J1" s="20">
        <f>'CABEÇALHO'!I7</f>
        <v>2026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23.25" customHeight="1">
      <c r="A2" s="25"/>
      <c r="B2" s="29" t="s">
        <v>9</v>
      </c>
      <c r="C2" s="30"/>
      <c r="D2" s="56">
        <f>SUM(E38,E85,E132,E179,E226,E273,E320,E367,E414,E461,E508,E555)</f>
        <v>16695.12</v>
      </c>
      <c r="E2" s="57" t="s">
        <v>30</v>
      </c>
      <c r="F2" s="30"/>
      <c r="G2" s="58">
        <f>'BANCO DE DADOS'!C95</f>
        <v>17182.07</v>
      </c>
      <c r="H2" s="57" t="s">
        <v>31</v>
      </c>
      <c r="I2" s="30"/>
      <c r="J2" s="59">
        <f>D2-G2</f>
        <v>-486.95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23.25" customHeight="1">
      <c r="A3" s="25"/>
      <c r="B3" s="62" t="s">
        <v>32</v>
      </c>
      <c r="C3" s="63"/>
      <c r="D3" s="64"/>
      <c r="E3" s="66" t="s">
        <v>33</v>
      </c>
      <c r="F3" s="63"/>
      <c r="G3" s="64"/>
      <c r="H3" s="66" t="s">
        <v>35</v>
      </c>
      <c r="I3" s="63"/>
      <c r="J3" s="6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71"/>
      <c r="B4" s="72" t="s">
        <v>36</v>
      </c>
      <c r="C4" s="73" t="s">
        <v>37</v>
      </c>
      <c r="D4" s="75" t="s">
        <v>38</v>
      </c>
      <c r="E4" s="78" t="s">
        <v>36</v>
      </c>
      <c r="F4" s="80" t="s">
        <v>37</v>
      </c>
      <c r="G4" s="75" t="s">
        <v>38</v>
      </c>
      <c r="H4" s="78" t="s">
        <v>36</v>
      </c>
      <c r="I4" s="80" t="s">
        <v>37</v>
      </c>
      <c r="J4" s="81" t="s">
        <v>38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23.25" customHeight="1">
      <c r="A5" s="82"/>
      <c r="B5" s="83" t="s">
        <v>39</v>
      </c>
      <c r="C5" s="85"/>
      <c r="D5" s="86"/>
      <c r="E5" s="83" t="s">
        <v>39</v>
      </c>
      <c r="F5" s="85"/>
      <c r="G5" s="86"/>
      <c r="H5" s="83" t="s">
        <v>39</v>
      </c>
      <c r="I5" s="85"/>
      <c r="J5" s="8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23.25" hidden="1" customHeight="1" outlineLevel="1">
      <c r="A6" s="89"/>
      <c r="B6" s="90">
        <v>46030.0</v>
      </c>
      <c r="C6" s="91" t="s">
        <v>43</v>
      </c>
      <c r="D6" s="92">
        <v>181.27</v>
      </c>
      <c r="E6" s="93">
        <v>46047.0</v>
      </c>
      <c r="F6" s="91" t="s">
        <v>44</v>
      </c>
      <c r="G6" s="92">
        <v>162.0</v>
      </c>
      <c r="H6" s="93">
        <v>46029.0</v>
      </c>
      <c r="I6" s="91" t="s">
        <v>45</v>
      </c>
      <c r="J6" s="94">
        <v>140.0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23.25" hidden="1" customHeight="1" outlineLevel="1">
      <c r="A7" s="95"/>
      <c r="B7" s="96">
        <v>46047.0</v>
      </c>
      <c r="C7" s="97" t="s">
        <v>46</v>
      </c>
      <c r="D7" s="98">
        <v>200.02</v>
      </c>
      <c r="E7" s="99"/>
      <c r="F7" s="100"/>
      <c r="G7" s="101"/>
      <c r="H7" s="102">
        <v>46048.0</v>
      </c>
      <c r="I7" s="97" t="s">
        <v>47</v>
      </c>
      <c r="J7" s="103">
        <v>41.0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23.25" hidden="1" customHeight="1" outlineLevel="1">
      <c r="A8" s="95"/>
      <c r="B8" s="104">
        <v>46049.0</v>
      </c>
      <c r="C8" s="97" t="s">
        <v>48</v>
      </c>
      <c r="D8" s="98">
        <v>292.49</v>
      </c>
      <c r="E8" s="99"/>
      <c r="F8" s="100"/>
      <c r="G8" s="101"/>
      <c r="H8" s="99"/>
      <c r="I8" s="100"/>
      <c r="J8" s="10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23.25" hidden="1" customHeight="1" outlineLevel="1">
      <c r="A9" s="95"/>
      <c r="B9" s="106"/>
      <c r="C9" s="96"/>
      <c r="D9" s="97"/>
      <c r="E9" s="98"/>
      <c r="F9" s="100"/>
      <c r="G9" s="101"/>
      <c r="H9" s="99"/>
      <c r="I9" s="100"/>
      <c r="J9" s="10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23.25" hidden="1" customHeight="1" outlineLevel="1">
      <c r="A10" s="95"/>
      <c r="B10" s="107"/>
      <c r="C10" s="100"/>
      <c r="D10" s="101"/>
      <c r="E10" s="99"/>
      <c r="F10" s="100"/>
      <c r="G10" s="101"/>
      <c r="H10" s="99"/>
      <c r="I10" s="100"/>
      <c r="J10" s="105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23.25" hidden="1" customHeight="1" outlineLevel="1">
      <c r="A11" s="95"/>
      <c r="B11" s="107"/>
      <c r="C11" s="100"/>
      <c r="D11" s="101"/>
      <c r="E11" s="99"/>
      <c r="F11" s="100"/>
      <c r="G11" s="101"/>
      <c r="H11" s="99"/>
      <c r="I11" s="100"/>
      <c r="J11" s="105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23.25" hidden="1" customHeight="1" outlineLevel="1">
      <c r="A12" s="95"/>
      <c r="B12" s="107"/>
      <c r="C12" s="100"/>
      <c r="D12" s="101"/>
      <c r="E12" s="99"/>
      <c r="F12" s="100"/>
      <c r="G12" s="101"/>
      <c r="H12" s="99"/>
      <c r="I12" s="100"/>
      <c r="J12" s="10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23.25" hidden="1" customHeight="1" outlineLevel="1">
      <c r="A13" s="95"/>
      <c r="B13" s="107"/>
      <c r="C13" s="100"/>
      <c r="D13" s="101"/>
      <c r="E13" s="99"/>
      <c r="F13" s="100"/>
      <c r="G13" s="101"/>
      <c r="H13" s="99"/>
      <c r="I13" s="100"/>
      <c r="J13" s="10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23.25" hidden="1" customHeight="1" outlineLevel="1">
      <c r="A14" s="95"/>
      <c r="B14" s="107"/>
      <c r="C14" s="100"/>
      <c r="D14" s="101"/>
      <c r="E14" s="99"/>
      <c r="F14" s="100"/>
      <c r="G14" s="101"/>
      <c r="H14" s="99"/>
      <c r="I14" s="100"/>
      <c r="J14" s="10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23.25" hidden="1" customHeight="1" outlineLevel="1">
      <c r="A15" s="95"/>
      <c r="B15" s="107"/>
      <c r="C15" s="109"/>
      <c r="D15" s="101"/>
      <c r="E15" s="99"/>
      <c r="F15" s="100"/>
      <c r="G15" s="101"/>
      <c r="H15" s="99"/>
      <c r="I15" s="100"/>
      <c r="J15" s="10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23.25" hidden="1" customHeight="1" outlineLevel="1">
      <c r="A16" s="95"/>
      <c r="B16" s="107"/>
      <c r="C16" s="100"/>
      <c r="D16" s="101"/>
      <c r="E16" s="99"/>
      <c r="F16" s="100"/>
      <c r="G16" s="101"/>
      <c r="H16" s="99"/>
      <c r="I16" s="100"/>
      <c r="J16" s="10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23.25" hidden="1" customHeight="1" outlineLevel="1">
      <c r="A17" s="95"/>
      <c r="B17" s="107"/>
      <c r="C17" s="100"/>
      <c r="D17" s="101"/>
      <c r="E17" s="99"/>
      <c r="F17" s="100"/>
      <c r="G17" s="101"/>
      <c r="H17" s="99"/>
      <c r="I17" s="100"/>
      <c r="J17" s="10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3.25" hidden="1" customHeight="1" outlineLevel="1">
      <c r="A18" s="95"/>
      <c r="B18" s="107"/>
      <c r="C18" s="100"/>
      <c r="D18" s="101"/>
      <c r="E18" s="99"/>
      <c r="F18" s="100"/>
      <c r="G18" s="101"/>
      <c r="H18" s="99"/>
      <c r="I18" s="100"/>
      <c r="J18" s="10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3.25" hidden="1" customHeight="1" outlineLevel="1">
      <c r="A19" s="95"/>
      <c r="B19" s="107"/>
      <c r="C19" s="100"/>
      <c r="D19" s="101"/>
      <c r="E19" s="99"/>
      <c r="F19" s="100"/>
      <c r="G19" s="101"/>
      <c r="H19" s="99"/>
      <c r="I19" s="100"/>
      <c r="J19" s="10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23.25" hidden="1" customHeight="1" outlineLevel="1">
      <c r="A20" s="95"/>
      <c r="B20" s="107"/>
      <c r="C20" s="100"/>
      <c r="D20" s="101"/>
      <c r="E20" s="99"/>
      <c r="F20" s="100"/>
      <c r="G20" s="101"/>
      <c r="H20" s="99"/>
      <c r="I20" s="100"/>
      <c r="J20" s="10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23.25" hidden="1" customHeight="1" outlineLevel="1">
      <c r="A21" s="95"/>
      <c r="B21" s="107"/>
      <c r="C21" s="100"/>
      <c r="D21" s="101"/>
      <c r="E21" s="99"/>
      <c r="F21" s="100"/>
      <c r="G21" s="101"/>
      <c r="H21" s="99"/>
      <c r="I21" s="100"/>
      <c r="J21" s="10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23.25" hidden="1" customHeight="1" outlineLevel="1">
      <c r="A22" s="95"/>
      <c r="B22" s="107"/>
      <c r="C22" s="100"/>
      <c r="D22" s="101"/>
      <c r="E22" s="99"/>
      <c r="F22" s="100"/>
      <c r="G22" s="101"/>
      <c r="H22" s="99"/>
      <c r="I22" s="100"/>
      <c r="J22" s="10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23.25" hidden="1" customHeight="1" outlineLevel="1">
      <c r="A23" s="95"/>
      <c r="B23" s="107"/>
      <c r="C23" s="100"/>
      <c r="D23" s="101"/>
      <c r="E23" s="99"/>
      <c r="F23" s="100"/>
      <c r="G23" s="101"/>
      <c r="H23" s="99"/>
      <c r="I23" s="100"/>
      <c r="J23" s="10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23.25" hidden="1" customHeight="1" outlineLevel="1">
      <c r="A24" s="95"/>
      <c r="B24" s="107"/>
      <c r="C24" s="100"/>
      <c r="D24" s="101"/>
      <c r="E24" s="99"/>
      <c r="F24" s="100"/>
      <c r="G24" s="101"/>
      <c r="H24" s="99"/>
      <c r="I24" s="100"/>
      <c r="J24" s="10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23.25" hidden="1" customHeight="1" outlineLevel="1">
      <c r="A25" s="95"/>
      <c r="B25" s="107"/>
      <c r="C25" s="100"/>
      <c r="D25" s="101"/>
      <c r="E25" s="99"/>
      <c r="F25" s="100"/>
      <c r="G25" s="101"/>
      <c r="H25" s="99"/>
      <c r="I25" s="100"/>
      <c r="J25" s="10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23.25" hidden="1" customHeight="1" outlineLevel="1">
      <c r="A26" s="95"/>
      <c r="B26" s="107"/>
      <c r="C26" s="100"/>
      <c r="D26" s="101"/>
      <c r="E26" s="99"/>
      <c r="F26" s="100"/>
      <c r="G26" s="101"/>
      <c r="H26" s="99"/>
      <c r="I26" s="100"/>
      <c r="J26" s="10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23.25" hidden="1" customHeight="1" outlineLevel="1">
      <c r="A27" s="95"/>
      <c r="B27" s="107"/>
      <c r="C27" s="100"/>
      <c r="D27" s="101"/>
      <c r="E27" s="99"/>
      <c r="F27" s="100"/>
      <c r="G27" s="101"/>
      <c r="H27" s="99"/>
      <c r="I27" s="100"/>
      <c r="J27" s="10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23.25" hidden="1" customHeight="1" outlineLevel="1">
      <c r="A28" s="95"/>
      <c r="B28" s="107"/>
      <c r="C28" s="100"/>
      <c r="D28" s="101"/>
      <c r="E28" s="99"/>
      <c r="F28" s="100"/>
      <c r="G28" s="101"/>
      <c r="H28" s="99"/>
      <c r="I28" s="100"/>
      <c r="J28" s="10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23.25" hidden="1" customHeight="1" outlineLevel="1">
      <c r="A29" s="95"/>
      <c r="B29" s="107"/>
      <c r="C29" s="100"/>
      <c r="D29" s="101"/>
      <c r="E29" s="99"/>
      <c r="F29" s="100"/>
      <c r="G29" s="101"/>
      <c r="H29" s="99"/>
      <c r="I29" s="100"/>
      <c r="J29" s="10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23.25" hidden="1" customHeight="1" outlineLevel="1">
      <c r="A30" s="95"/>
      <c r="B30" s="107"/>
      <c r="C30" s="100"/>
      <c r="D30" s="101"/>
      <c r="E30" s="99"/>
      <c r="F30" s="100"/>
      <c r="G30" s="101"/>
      <c r="H30" s="99"/>
      <c r="I30" s="100"/>
      <c r="J30" s="10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23.25" hidden="1" customHeight="1" outlineLevel="1">
      <c r="A31" s="95"/>
      <c r="B31" s="107"/>
      <c r="C31" s="100"/>
      <c r="D31" s="101"/>
      <c r="E31" s="99"/>
      <c r="F31" s="100"/>
      <c r="G31" s="101"/>
      <c r="H31" s="99"/>
      <c r="I31" s="100"/>
      <c r="J31" s="105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23.25" hidden="1" customHeight="1" outlineLevel="1">
      <c r="A32" s="95"/>
      <c r="B32" s="107"/>
      <c r="C32" s="100"/>
      <c r="D32" s="101"/>
      <c r="E32" s="99"/>
      <c r="F32" s="100"/>
      <c r="G32" s="101"/>
      <c r="H32" s="99"/>
      <c r="I32" s="100"/>
      <c r="J32" s="10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23.25" hidden="1" customHeight="1" outlineLevel="1">
      <c r="A33" s="95"/>
      <c r="B33" s="107"/>
      <c r="C33" s="100"/>
      <c r="D33" s="101"/>
      <c r="E33" s="99"/>
      <c r="F33" s="100"/>
      <c r="G33" s="101"/>
      <c r="H33" s="99"/>
      <c r="I33" s="100"/>
      <c r="J33" s="10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23.25" hidden="1" customHeight="1" outlineLevel="1">
      <c r="A34" s="95"/>
      <c r="B34" s="107"/>
      <c r="C34" s="100"/>
      <c r="D34" s="101"/>
      <c r="E34" s="99"/>
      <c r="F34" s="100"/>
      <c r="G34" s="101"/>
      <c r="H34" s="99"/>
      <c r="I34" s="100"/>
      <c r="J34" s="10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23.25" hidden="1" customHeight="1" outlineLevel="1">
      <c r="A35" s="95"/>
      <c r="B35" s="107"/>
      <c r="C35" s="100"/>
      <c r="D35" s="101"/>
      <c r="E35" s="99"/>
      <c r="F35" s="100"/>
      <c r="G35" s="101"/>
      <c r="H35" s="99"/>
      <c r="I35" s="100"/>
      <c r="J35" s="10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23.25" hidden="1" customHeight="1" outlineLevel="1">
      <c r="A36" s="132"/>
      <c r="B36" s="134"/>
      <c r="C36" s="136"/>
      <c r="D36" s="137"/>
      <c r="E36" s="139"/>
      <c r="F36" s="136"/>
      <c r="G36" s="137"/>
      <c r="H36" s="139"/>
      <c r="I36" s="136"/>
      <c r="J36" s="14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23.25" customHeight="1" collapsed="1">
      <c r="A37" s="143"/>
      <c r="B37" s="146" t="s">
        <v>57</v>
      </c>
      <c r="C37" s="148"/>
      <c r="D37" s="149">
        <f>SUM(D6:D36)</f>
        <v>673.78</v>
      </c>
      <c r="E37" s="146" t="s">
        <v>57</v>
      </c>
      <c r="F37" s="148"/>
      <c r="G37" s="149">
        <f>SUM(G6:G36)</f>
        <v>162</v>
      </c>
      <c r="H37" s="146" t="s">
        <v>57</v>
      </c>
      <c r="I37" s="148"/>
      <c r="J37" s="149">
        <f>SUM(J6:J36)</f>
        <v>181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23.25" customHeight="1">
      <c r="B38" s="151"/>
      <c r="C38" s="153"/>
      <c r="D38" s="153"/>
      <c r="E38" s="154">
        <f>SUM(D37,G37,J37)</f>
        <v>1016.78</v>
      </c>
      <c r="F38" s="122"/>
      <c r="G38" s="123"/>
      <c r="H38" s="156"/>
      <c r="I38" s="153"/>
      <c r="J38" s="15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23.25" customHeight="1">
      <c r="A39" s="157"/>
      <c r="B39" s="83" t="s">
        <v>58</v>
      </c>
      <c r="C39" s="85"/>
      <c r="D39" s="86"/>
      <c r="E39" s="83" t="s">
        <v>58</v>
      </c>
      <c r="F39" s="85"/>
      <c r="G39" s="86"/>
      <c r="H39" s="83" t="s">
        <v>58</v>
      </c>
      <c r="I39" s="85"/>
      <c r="J39" s="8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23.25" hidden="1" customHeight="1" outlineLevel="1">
      <c r="A40" s="89"/>
      <c r="B40" s="96">
        <v>46055.0</v>
      </c>
      <c r="C40" s="97" t="s">
        <v>59</v>
      </c>
      <c r="D40" s="98">
        <v>245.12</v>
      </c>
      <c r="E40" s="159"/>
      <c r="F40" s="160"/>
      <c r="G40" s="161"/>
      <c r="H40" s="93">
        <v>46065.0</v>
      </c>
      <c r="I40" s="91" t="s">
        <v>60</v>
      </c>
      <c r="J40" s="94">
        <v>50.0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23.25" hidden="1" customHeight="1" outlineLevel="1">
      <c r="A41" s="95"/>
      <c r="B41" s="96">
        <v>46059.0</v>
      </c>
      <c r="C41" s="97" t="s">
        <v>59</v>
      </c>
      <c r="D41" s="98">
        <v>170.02</v>
      </c>
      <c r="E41" s="99"/>
      <c r="F41" s="100"/>
      <c r="G41" s="101"/>
      <c r="H41" s="102">
        <v>46074.0</v>
      </c>
      <c r="I41" s="97" t="s">
        <v>62</v>
      </c>
      <c r="J41" s="103">
        <v>60.0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23.25" hidden="1" customHeight="1" outlineLevel="1">
      <c r="A42" s="95"/>
      <c r="B42" s="96">
        <v>46064.0</v>
      </c>
      <c r="C42" s="97" t="s">
        <v>59</v>
      </c>
      <c r="D42" s="98">
        <v>168.02</v>
      </c>
      <c r="E42" s="99"/>
      <c r="F42" s="100"/>
      <c r="G42" s="101"/>
      <c r="H42" s="102">
        <v>46078.0</v>
      </c>
      <c r="I42" s="97" t="s">
        <v>63</v>
      </c>
      <c r="J42" s="103">
        <v>133.6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23.25" hidden="1" customHeight="1" outlineLevel="1">
      <c r="A43" s="95"/>
      <c r="B43" s="96">
        <v>46065.0</v>
      </c>
      <c r="C43" s="97" t="s">
        <v>64</v>
      </c>
      <c r="D43" s="98">
        <v>50.0</v>
      </c>
      <c r="E43" s="99"/>
      <c r="F43" s="100"/>
      <c r="G43" s="101"/>
      <c r="H43" s="102">
        <v>46108.0</v>
      </c>
      <c r="I43" s="97" t="s">
        <v>65</v>
      </c>
      <c r="J43" s="103">
        <v>60.0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23.25" hidden="1" customHeight="1" outlineLevel="1">
      <c r="A44" s="95"/>
      <c r="B44" s="96">
        <v>46067.0</v>
      </c>
      <c r="C44" s="97" t="s">
        <v>66</v>
      </c>
      <c r="D44" s="98">
        <v>349.68</v>
      </c>
      <c r="E44" s="99"/>
      <c r="F44" s="100"/>
      <c r="G44" s="101"/>
      <c r="H44" s="99"/>
      <c r="I44" s="100"/>
      <c r="J44" s="105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23.25" hidden="1" customHeight="1" outlineLevel="1">
      <c r="A45" s="95"/>
      <c r="B45" s="96">
        <v>46073.0</v>
      </c>
      <c r="C45" s="97" t="s">
        <v>68</v>
      </c>
      <c r="D45" s="98">
        <v>303.08</v>
      </c>
      <c r="E45" s="99"/>
      <c r="F45" s="100"/>
      <c r="G45" s="101"/>
      <c r="H45" s="99"/>
      <c r="I45" s="100"/>
      <c r="J45" s="10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23.25" hidden="1" customHeight="1" outlineLevel="1">
      <c r="A46" s="95"/>
      <c r="B46" s="96">
        <v>46080.0</v>
      </c>
      <c r="C46" s="97" t="s">
        <v>69</v>
      </c>
      <c r="D46" s="98">
        <v>297.0</v>
      </c>
      <c r="E46" s="99"/>
      <c r="F46" s="100"/>
      <c r="G46" s="101"/>
      <c r="H46" s="99"/>
      <c r="I46" s="100"/>
      <c r="J46" s="105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23.25" hidden="1" customHeight="1" outlineLevel="1">
      <c r="A47" s="95"/>
      <c r="B47" s="107"/>
      <c r="C47" s="100"/>
      <c r="D47" s="101"/>
      <c r="E47" s="99"/>
      <c r="F47" s="100"/>
      <c r="G47" s="101"/>
      <c r="H47" s="99"/>
      <c r="I47" s="100"/>
      <c r="J47" s="105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23.25" hidden="1" customHeight="1" outlineLevel="1">
      <c r="A48" s="95"/>
      <c r="B48" s="107"/>
      <c r="C48" s="100"/>
      <c r="D48" s="101"/>
      <c r="E48" s="99"/>
      <c r="F48" s="100"/>
      <c r="G48" s="101"/>
      <c r="H48" s="99"/>
      <c r="I48" s="100"/>
      <c r="J48" s="105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23.25" hidden="1" customHeight="1" outlineLevel="1">
      <c r="A49" s="95"/>
      <c r="B49" s="107"/>
      <c r="C49" s="109"/>
      <c r="D49" s="101"/>
      <c r="E49" s="99"/>
      <c r="F49" s="100"/>
      <c r="G49" s="101"/>
      <c r="H49" s="99"/>
      <c r="I49" s="100"/>
      <c r="J49" s="105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23.25" hidden="1" customHeight="1" outlineLevel="1">
      <c r="A50" s="95"/>
      <c r="B50" s="107"/>
      <c r="C50" s="100"/>
      <c r="D50" s="101"/>
      <c r="E50" s="99"/>
      <c r="F50" s="100"/>
      <c r="G50" s="101"/>
      <c r="H50" s="99"/>
      <c r="I50" s="100"/>
      <c r="J50" s="105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23.25" hidden="1" customHeight="1" outlineLevel="1">
      <c r="A51" s="95"/>
      <c r="B51" s="107"/>
      <c r="C51" s="100"/>
      <c r="D51" s="101"/>
      <c r="E51" s="99"/>
      <c r="F51" s="100"/>
      <c r="G51" s="101"/>
      <c r="H51" s="99"/>
      <c r="I51" s="100"/>
      <c r="J51" s="105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23.25" hidden="1" customHeight="1" outlineLevel="1">
      <c r="A52" s="95"/>
      <c r="B52" s="107"/>
      <c r="C52" s="100"/>
      <c r="D52" s="101"/>
      <c r="E52" s="99"/>
      <c r="F52" s="100"/>
      <c r="G52" s="101"/>
      <c r="H52" s="99"/>
      <c r="I52" s="100"/>
      <c r="J52" s="105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23.25" hidden="1" customHeight="1" outlineLevel="1">
      <c r="A53" s="95"/>
      <c r="B53" s="107"/>
      <c r="C53" s="100"/>
      <c r="D53" s="101"/>
      <c r="E53" s="99"/>
      <c r="F53" s="100"/>
      <c r="G53" s="101"/>
      <c r="H53" s="99"/>
      <c r="I53" s="100"/>
      <c r="J53" s="105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23.25" hidden="1" customHeight="1" outlineLevel="1">
      <c r="A54" s="95"/>
      <c r="B54" s="107"/>
      <c r="C54" s="100"/>
      <c r="D54" s="101"/>
      <c r="E54" s="99"/>
      <c r="F54" s="100"/>
      <c r="G54" s="101"/>
      <c r="H54" s="99"/>
      <c r="I54" s="100"/>
      <c r="J54" s="105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23.25" hidden="1" customHeight="1" outlineLevel="1">
      <c r="A55" s="95"/>
      <c r="B55" s="107"/>
      <c r="C55" s="100"/>
      <c r="D55" s="101"/>
      <c r="E55" s="99"/>
      <c r="F55" s="100"/>
      <c r="G55" s="101"/>
      <c r="H55" s="99"/>
      <c r="I55" s="100"/>
      <c r="J55" s="105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23.25" hidden="1" customHeight="1" outlineLevel="1">
      <c r="A56" s="95"/>
      <c r="B56" s="107"/>
      <c r="C56" s="100"/>
      <c r="D56" s="101"/>
      <c r="E56" s="99"/>
      <c r="F56" s="100"/>
      <c r="G56" s="101"/>
      <c r="H56" s="99"/>
      <c r="I56" s="100"/>
      <c r="J56" s="105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23.25" hidden="1" customHeight="1" outlineLevel="1">
      <c r="A57" s="95"/>
      <c r="B57" s="107"/>
      <c r="C57" s="100"/>
      <c r="D57" s="101"/>
      <c r="E57" s="99"/>
      <c r="F57" s="100"/>
      <c r="G57" s="101"/>
      <c r="H57" s="99"/>
      <c r="I57" s="100"/>
      <c r="J57" s="105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23.25" hidden="1" customHeight="1" outlineLevel="1">
      <c r="A58" s="95"/>
      <c r="B58" s="107"/>
      <c r="C58" s="100"/>
      <c r="D58" s="101"/>
      <c r="E58" s="99"/>
      <c r="F58" s="100"/>
      <c r="G58" s="101"/>
      <c r="H58" s="99"/>
      <c r="I58" s="100"/>
      <c r="J58" s="105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23.25" hidden="1" customHeight="1" outlineLevel="1">
      <c r="A59" s="95"/>
      <c r="B59" s="107"/>
      <c r="C59" s="100"/>
      <c r="D59" s="101"/>
      <c r="E59" s="99"/>
      <c r="F59" s="100"/>
      <c r="G59" s="101"/>
      <c r="H59" s="99"/>
      <c r="I59" s="100"/>
      <c r="J59" s="105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23.25" hidden="1" customHeight="1" outlineLevel="1">
      <c r="A60" s="95"/>
      <c r="B60" s="107"/>
      <c r="C60" s="100"/>
      <c r="D60" s="101"/>
      <c r="E60" s="99"/>
      <c r="F60" s="100"/>
      <c r="G60" s="101"/>
      <c r="H60" s="99"/>
      <c r="I60" s="100"/>
      <c r="J60" s="105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23.25" hidden="1" customHeight="1" outlineLevel="1">
      <c r="A61" s="95"/>
      <c r="B61" s="107"/>
      <c r="C61" s="100"/>
      <c r="D61" s="101"/>
      <c r="E61" s="99"/>
      <c r="F61" s="100"/>
      <c r="G61" s="101"/>
      <c r="H61" s="99"/>
      <c r="I61" s="100"/>
      <c r="J61" s="105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23.25" hidden="1" customHeight="1" outlineLevel="1">
      <c r="A62" s="95"/>
      <c r="B62" s="107"/>
      <c r="C62" s="100"/>
      <c r="D62" s="101"/>
      <c r="E62" s="99"/>
      <c r="F62" s="100"/>
      <c r="G62" s="101"/>
      <c r="H62" s="99"/>
      <c r="I62" s="100"/>
      <c r="J62" s="105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23.25" hidden="1" customHeight="1" outlineLevel="1">
      <c r="A63" s="95"/>
      <c r="B63" s="107"/>
      <c r="C63" s="100"/>
      <c r="D63" s="101"/>
      <c r="E63" s="99"/>
      <c r="F63" s="100"/>
      <c r="G63" s="101"/>
      <c r="H63" s="99"/>
      <c r="I63" s="100"/>
      <c r="J63" s="105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23.25" hidden="1" customHeight="1" outlineLevel="1">
      <c r="A64" s="95"/>
      <c r="B64" s="107"/>
      <c r="C64" s="100"/>
      <c r="D64" s="101"/>
      <c r="E64" s="99"/>
      <c r="F64" s="100"/>
      <c r="G64" s="101"/>
      <c r="H64" s="99"/>
      <c r="I64" s="100"/>
      <c r="J64" s="105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23.25" hidden="1" customHeight="1" outlineLevel="1">
      <c r="A65" s="95"/>
      <c r="B65" s="107"/>
      <c r="C65" s="100"/>
      <c r="D65" s="101"/>
      <c r="E65" s="99"/>
      <c r="F65" s="100"/>
      <c r="G65" s="101"/>
      <c r="H65" s="99"/>
      <c r="I65" s="100"/>
      <c r="J65" s="105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23.25" hidden="1" customHeight="1" outlineLevel="1">
      <c r="A66" s="95"/>
      <c r="B66" s="107"/>
      <c r="C66" s="100"/>
      <c r="D66" s="101"/>
      <c r="E66" s="99"/>
      <c r="F66" s="100"/>
      <c r="G66" s="101"/>
      <c r="H66" s="99"/>
      <c r="I66" s="100"/>
      <c r="J66" s="105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23.25" hidden="1" customHeight="1" outlineLevel="1">
      <c r="A67" s="95"/>
      <c r="B67" s="107"/>
      <c r="C67" s="100"/>
      <c r="D67" s="101"/>
      <c r="E67" s="99"/>
      <c r="F67" s="100"/>
      <c r="G67" s="101"/>
      <c r="H67" s="99"/>
      <c r="I67" s="100"/>
      <c r="J67" s="105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23.25" hidden="1" customHeight="1" outlineLevel="1">
      <c r="A68" s="95"/>
      <c r="B68" s="107"/>
      <c r="C68" s="100"/>
      <c r="D68" s="101"/>
      <c r="E68" s="99"/>
      <c r="F68" s="100"/>
      <c r="G68" s="101"/>
      <c r="H68" s="99"/>
      <c r="I68" s="100"/>
      <c r="J68" s="105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23.25" hidden="1" customHeight="1" outlineLevel="1">
      <c r="A69" s="95"/>
      <c r="B69" s="107"/>
      <c r="C69" s="100"/>
      <c r="D69" s="101"/>
      <c r="E69" s="99"/>
      <c r="F69" s="100"/>
      <c r="G69" s="101"/>
      <c r="H69" s="99"/>
      <c r="I69" s="100"/>
      <c r="J69" s="105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23.25" hidden="1" customHeight="1" outlineLevel="1">
      <c r="A70" s="95"/>
      <c r="B70" s="107"/>
      <c r="C70" s="100"/>
      <c r="D70" s="101"/>
      <c r="E70" s="99"/>
      <c r="F70" s="100"/>
      <c r="G70" s="101"/>
      <c r="H70" s="99"/>
      <c r="I70" s="100"/>
      <c r="J70" s="105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23.25" hidden="1" customHeight="1" outlineLevel="1">
      <c r="A71" s="95"/>
      <c r="B71" s="107"/>
      <c r="C71" s="100"/>
      <c r="D71" s="101"/>
      <c r="E71" s="99"/>
      <c r="F71" s="100"/>
      <c r="G71" s="101"/>
      <c r="H71" s="99"/>
      <c r="I71" s="100"/>
      <c r="J71" s="105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23.25" hidden="1" customHeight="1" outlineLevel="1">
      <c r="A72" s="95"/>
      <c r="B72" s="107"/>
      <c r="C72" s="100"/>
      <c r="D72" s="101"/>
      <c r="E72" s="99"/>
      <c r="F72" s="100"/>
      <c r="G72" s="101"/>
      <c r="H72" s="99"/>
      <c r="I72" s="100"/>
      <c r="J72" s="105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23.25" hidden="1" customHeight="1" outlineLevel="1">
      <c r="A73" s="95"/>
      <c r="B73" s="107"/>
      <c r="C73" s="100"/>
      <c r="D73" s="101"/>
      <c r="E73" s="99"/>
      <c r="F73" s="100"/>
      <c r="G73" s="101"/>
      <c r="H73" s="99"/>
      <c r="I73" s="100"/>
      <c r="J73" s="105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23.25" hidden="1" customHeight="1" outlineLevel="1">
      <c r="A74" s="95"/>
      <c r="B74" s="107"/>
      <c r="C74" s="100"/>
      <c r="D74" s="101"/>
      <c r="E74" s="99"/>
      <c r="F74" s="100"/>
      <c r="G74" s="101"/>
      <c r="H74" s="99"/>
      <c r="I74" s="100"/>
      <c r="J74" s="105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23.25" hidden="1" customHeight="1" outlineLevel="1">
      <c r="A75" s="95"/>
      <c r="B75" s="107"/>
      <c r="C75" s="100"/>
      <c r="D75" s="101"/>
      <c r="E75" s="99"/>
      <c r="F75" s="100"/>
      <c r="G75" s="101"/>
      <c r="H75" s="99"/>
      <c r="I75" s="100"/>
      <c r="J75" s="105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23.25" hidden="1" customHeight="1" outlineLevel="1">
      <c r="A76" s="95"/>
      <c r="B76" s="107"/>
      <c r="C76" s="100"/>
      <c r="D76" s="101"/>
      <c r="E76" s="99"/>
      <c r="F76" s="100"/>
      <c r="G76" s="101"/>
      <c r="H76" s="99"/>
      <c r="I76" s="100"/>
      <c r="J76" s="105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23.25" hidden="1" customHeight="1" outlineLevel="1">
      <c r="A77" s="95"/>
      <c r="B77" s="107"/>
      <c r="C77" s="100"/>
      <c r="D77" s="101"/>
      <c r="E77" s="99"/>
      <c r="F77" s="100"/>
      <c r="G77" s="101"/>
      <c r="H77" s="99"/>
      <c r="I77" s="100"/>
      <c r="J77" s="105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23.25" hidden="1" customHeight="1" outlineLevel="1">
      <c r="A78" s="95"/>
      <c r="B78" s="107"/>
      <c r="C78" s="100"/>
      <c r="D78" s="101"/>
      <c r="E78" s="99"/>
      <c r="F78" s="100"/>
      <c r="G78" s="101"/>
      <c r="H78" s="99"/>
      <c r="I78" s="100"/>
      <c r="J78" s="105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23.25" hidden="1" customHeight="1" outlineLevel="1">
      <c r="A79" s="95"/>
      <c r="B79" s="107"/>
      <c r="C79" s="100"/>
      <c r="D79" s="101"/>
      <c r="E79" s="99"/>
      <c r="F79" s="100"/>
      <c r="G79" s="101"/>
      <c r="H79" s="99"/>
      <c r="I79" s="100"/>
      <c r="J79" s="105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23.25" hidden="1" customHeight="1" outlineLevel="1">
      <c r="A80" s="95"/>
      <c r="B80" s="107"/>
      <c r="C80" s="100"/>
      <c r="D80" s="101"/>
      <c r="E80" s="99"/>
      <c r="F80" s="100"/>
      <c r="G80" s="101"/>
      <c r="H80" s="99"/>
      <c r="I80" s="100"/>
      <c r="J80" s="105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23.25" hidden="1" customHeight="1" outlineLevel="1">
      <c r="A81" s="95"/>
      <c r="B81" s="107"/>
      <c r="C81" s="100"/>
      <c r="D81" s="101"/>
      <c r="E81" s="99"/>
      <c r="F81" s="100"/>
      <c r="G81" s="101"/>
      <c r="H81" s="99"/>
      <c r="I81" s="100"/>
      <c r="J81" s="105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23.25" hidden="1" customHeight="1" outlineLevel="1">
      <c r="A82" s="95"/>
      <c r="B82" s="107"/>
      <c r="C82" s="100"/>
      <c r="D82" s="101"/>
      <c r="E82" s="99"/>
      <c r="F82" s="100"/>
      <c r="G82" s="101"/>
      <c r="H82" s="99"/>
      <c r="I82" s="100"/>
      <c r="J82" s="105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23.25" hidden="1" customHeight="1" outlineLevel="1">
      <c r="A83" s="132"/>
      <c r="B83" s="134"/>
      <c r="C83" s="136"/>
      <c r="D83" s="137"/>
      <c r="E83" s="139"/>
      <c r="F83" s="136"/>
      <c r="G83" s="137"/>
      <c r="H83" s="139"/>
      <c r="I83" s="136"/>
      <c r="J83" s="14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23.25" customHeight="1" collapsed="1">
      <c r="A84" s="143"/>
      <c r="B84" s="146" t="s">
        <v>57</v>
      </c>
      <c r="C84" s="148"/>
      <c r="D84" s="149">
        <f>SUM(D40:D83)</f>
        <v>1582.92</v>
      </c>
      <c r="E84" s="146" t="s">
        <v>57</v>
      </c>
      <c r="F84" s="148"/>
      <c r="G84" s="149">
        <f>SUM(G40:G83)</f>
        <v>0</v>
      </c>
      <c r="H84" s="146" t="s">
        <v>57</v>
      </c>
      <c r="I84" s="148"/>
      <c r="J84" s="149">
        <f>SUM(J40:J83)</f>
        <v>303.6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23.25" customHeight="1">
      <c r="B85" s="156"/>
      <c r="C85" s="153"/>
      <c r="D85" s="153"/>
      <c r="E85" s="154">
        <f>SUM(D84,G84,J84)</f>
        <v>1886.52</v>
      </c>
      <c r="F85" s="122"/>
      <c r="G85" s="123"/>
      <c r="H85" s="156"/>
      <c r="I85" s="153"/>
      <c r="J85" s="153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23.25" customHeight="1">
      <c r="A86" s="157"/>
      <c r="B86" s="83" t="s">
        <v>70</v>
      </c>
      <c r="C86" s="85"/>
      <c r="D86" s="86"/>
      <c r="E86" s="83" t="s">
        <v>70</v>
      </c>
      <c r="F86" s="85"/>
      <c r="G86" s="86"/>
      <c r="H86" s="83" t="s">
        <v>70</v>
      </c>
      <c r="I86" s="85"/>
      <c r="J86" s="8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23.25" hidden="1" customHeight="1" outlineLevel="1">
      <c r="A87" s="89"/>
      <c r="B87" s="90"/>
      <c r="C87" s="91"/>
      <c r="D87" s="92"/>
      <c r="E87" s="159"/>
      <c r="F87" s="160"/>
      <c r="G87" s="161"/>
      <c r="H87" s="93">
        <v>46095.0</v>
      </c>
      <c r="I87" s="91" t="s">
        <v>71</v>
      </c>
      <c r="J87" s="94">
        <v>150.0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23.25" hidden="1" customHeight="1" outlineLevel="1">
      <c r="A88" s="95"/>
      <c r="B88" s="96">
        <v>46084.0</v>
      </c>
      <c r="C88" s="97" t="s">
        <v>72</v>
      </c>
      <c r="D88" s="98">
        <v>291.42</v>
      </c>
      <c r="E88" s="99"/>
      <c r="F88" s="100"/>
      <c r="G88" s="101"/>
      <c r="H88" s="102">
        <v>46096.0</v>
      </c>
      <c r="I88" s="97" t="s">
        <v>73</v>
      </c>
      <c r="J88" s="103">
        <v>250.0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23.25" hidden="1" customHeight="1" outlineLevel="1">
      <c r="A89" s="95"/>
      <c r="B89" s="96">
        <v>46086.0</v>
      </c>
      <c r="C89" s="97" t="s">
        <v>74</v>
      </c>
      <c r="D89" s="98">
        <v>100.0</v>
      </c>
      <c r="E89" s="99"/>
      <c r="F89" s="100"/>
      <c r="G89" s="101"/>
      <c r="H89" s="102">
        <v>46096.0</v>
      </c>
      <c r="I89" s="97" t="s">
        <v>63</v>
      </c>
      <c r="J89" s="103">
        <v>71.0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23.25" hidden="1" customHeight="1" outlineLevel="1">
      <c r="A90" s="95"/>
      <c r="B90" s="96">
        <v>46111.0</v>
      </c>
      <c r="C90" s="97" t="s">
        <v>75</v>
      </c>
      <c r="D90" s="98">
        <v>331.53</v>
      </c>
      <c r="E90" s="99"/>
      <c r="F90" s="100"/>
      <c r="G90" s="101"/>
      <c r="H90" s="102">
        <v>46097.0</v>
      </c>
      <c r="I90" s="97" t="s">
        <v>76</v>
      </c>
      <c r="J90" s="103">
        <v>70.0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23.25" hidden="1" customHeight="1" outlineLevel="1">
      <c r="A91" s="95"/>
      <c r="B91" s="107"/>
      <c r="C91" s="100"/>
      <c r="D91" s="101"/>
      <c r="E91" s="99"/>
      <c r="F91" s="100"/>
      <c r="G91" s="101"/>
      <c r="H91" s="102">
        <v>46102.0</v>
      </c>
      <c r="I91" s="97" t="s">
        <v>77</v>
      </c>
      <c r="J91" s="103">
        <v>148.11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23.25" hidden="1" customHeight="1" outlineLevel="1">
      <c r="A92" s="95"/>
      <c r="B92" s="107"/>
      <c r="C92" s="100"/>
      <c r="D92" s="101"/>
      <c r="E92" s="99"/>
      <c r="F92" s="100"/>
      <c r="G92" s="101"/>
      <c r="H92" s="102">
        <v>46102.0</v>
      </c>
      <c r="I92" s="97" t="s">
        <v>78</v>
      </c>
      <c r="J92" s="103">
        <v>71.37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23.25" hidden="1" customHeight="1" outlineLevel="1">
      <c r="A93" s="95"/>
      <c r="B93" s="107"/>
      <c r="C93" s="100"/>
      <c r="D93" s="101"/>
      <c r="E93" s="99"/>
      <c r="F93" s="100"/>
      <c r="G93" s="101"/>
      <c r="H93" s="90">
        <v>46083.0</v>
      </c>
      <c r="I93" s="91" t="s">
        <v>79</v>
      </c>
      <c r="J93" s="92">
        <v>180.0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23.25" hidden="1" customHeight="1" outlineLevel="1">
      <c r="A94" s="95"/>
      <c r="B94" s="107"/>
      <c r="C94" s="100"/>
      <c r="D94" s="101"/>
      <c r="E94" s="99"/>
      <c r="F94" s="100"/>
      <c r="G94" s="101"/>
      <c r="H94" s="102">
        <v>46108.0</v>
      </c>
      <c r="I94" s="97" t="s">
        <v>76</v>
      </c>
      <c r="J94" s="103">
        <v>60.0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23.25" hidden="1" customHeight="1" outlineLevel="1">
      <c r="A95" s="95"/>
      <c r="B95" s="107"/>
      <c r="C95" s="100"/>
      <c r="D95" s="101"/>
      <c r="E95" s="99"/>
      <c r="F95" s="100"/>
      <c r="G95" s="101"/>
      <c r="H95" s="99"/>
      <c r="I95" s="100"/>
      <c r="J95" s="105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23.25" hidden="1" customHeight="1" outlineLevel="1">
      <c r="A96" s="95"/>
      <c r="B96" s="107"/>
      <c r="C96" s="109"/>
      <c r="D96" s="101"/>
      <c r="E96" s="99"/>
      <c r="F96" s="100"/>
      <c r="G96" s="101"/>
      <c r="H96" s="99"/>
      <c r="I96" s="100"/>
      <c r="J96" s="105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23.25" hidden="1" customHeight="1" outlineLevel="1">
      <c r="A97" s="95"/>
      <c r="B97" s="107"/>
      <c r="C97" s="100"/>
      <c r="D97" s="101"/>
      <c r="E97" s="99"/>
      <c r="F97" s="100"/>
      <c r="G97" s="101"/>
      <c r="H97" s="99"/>
      <c r="I97" s="100"/>
      <c r="J97" s="105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23.25" hidden="1" customHeight="1" outlineLevel="1">
      <c r="A98" s="95"/>
      <c r="B98" s="107"/>
      <c r="C98" s="100"/>
      <c r="D98" s="101"/>
      <c r="E98" s="99"/>
      <c r="F98" s="100"/>
      <c r="G98" s="101"/>
      <c r="H98" s="99"/>
      <c r="I98" s="100"/>
      <c r="J98" s="105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23.25" hidden="1" customHeight="1" outlineLevel="1">
      <c r="A99" s="95"/>
      <c r="B99" s="107"/>
      <c r="C99" s="100"/>
      <c r="D99" s="101"/>
      <c r="E99" s="99"/>
      <c r="F99" s="100"/>
      <c r="G99" s="101"/>
      <c r="H99" s="99"/>
      <c r="I99" s="100"/>
      <c r="J99" s="105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23.25" hidden="1" customHeight="1" outlineLevel="1">
      <c r="A100" s="95"/>
      <c r="B100" s="107"/>
      <c r="C100" s="100"/>
      <c r="D100" s="101"/>
      <c r="E100" s="99"/>
      <c r="F100" s="100"/>
      <c r="G100" s="101"/>
      <c r="H100" s="99"/>
      <c r="I100" s="100"/>
      <c r="J100" s="105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23.25" hidden="1" customHeight="1" outlineLevel="1">
      <c r="A101" s="95"/>
      <c r="B101" s="107"/>
      <c r="C101" s="100"/>
      <c r="D101" s="101"/>
      <c r="E101" s="99"/>
      <c r="F101" s="100"/>
      <c r="G101" s="101"/>
      <c r="H101" s="99"/>
      <c r="I101" s="100"/>
      <c r="J101" s="105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23.25" hidden="1" customHeight="1" outlineLevel="1">
      <c r="A102" s="95"/>
      <c r="B102" s="107"/>
      <c r="C102" s="100"/>
      <c r="D102" s="101"/>
      <c r="E102" s="99"/>
      <c r="F102" s="100"/>
      <c r="G102" s="101"/>
      <c r="H102" s="99"/>
      <c r="I102" s="100"/>
      <c r="J102" s="105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23.25" hidden="1" customHeight="1" outlineLevel="1">
      <c r="A103" s="95"/>
      <c r="B103" s="107"/>
      <c r="C103" s="100"/>
      <c r="D103" s="101"/>
      <c r="E103" s="99"/>
      <c r="F103" s="100"/>
      <c r="G103" s="101"/>
      <c r="H103" s="99"/>
      <c r="I103" s="100"/>
      <c r="J103" s="105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23.25" hidden="1" customHeight="1" outlineLevel="1">
      <c r="A104" s="95"/>
      <c r="B104" s="107"/>
      <c r="C104" s="100"/>
      <c r="D104" s="101"/>
      <c r="E104" s="99"/>
      <c r="F104" s="100"/>
      <c r="G104" s="101"/>
      <c r="H104" s="99"/>
      <c r="I104" s="100"/>
      <c r="J104" s="105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23.25" hidden="1" customHeight="1" outlineLevel="1">
      <c r="A105" s="95"/>
      <c r="B105" s="107"/>
      <c r="C105" s="100"/>
      <c r="D105" s="101"/>
      <c r="E105" s="99"/>
      <c r="F105" s="100"/>
      <c r="G105" s="101"/>
      <c r="H105" s="99"/>
      <c r="I105" s="100"/>
      <c r="J105" s="105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23.25" hidden="1" customHeight="1" outlineLevel="1">
      <c r="A106" s="95"/>
      <c r="B106" s="107"/>
      <c r="C106" s="100"/>
      <c r="D106" s="101"/>
      <c r="E106" s="99"/>
      <c r="F106" s="100"/>
      <c r="G106" s="101"/>
      <c r="H106" s="99"/>
      <c r="I106" s="100"/>
      <c r="J106" s="105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23.25" hidden="1" customHeight="1" outlineLevel="1">
      <c r="A107" s="95"/>
      <c r="B107" s="107"/>
      <c r="C107" s="100"/>
      <c r="D107" s="101"/>
      <c r="E107" s="99"/>
      <c r="F107" s="100"/>
      <c r="G107" s="101"/>
      <c r="H107" s="99"/>
      <c r="I107" s="100"/>
      <c r="J107" s="105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23.25" hidden="1" customHeight="1" outlineLevel="1">
      <c r="A108" s="95"/>
      <c r="B108" s="107"/>
      <c r="C108" s="100"/>
      <c r="D108" s="101"/>
      <c r="E108" s="99"/>
      <c r="F108" s="100"/>
      <c r="G108" s="101"/>
      <c r="H108" s="99"/>
      <c r="I108" s="100"/>
      <c r="J108" s="105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23.25" hidden="1" customHeight="1" outlineLevel="1">
      <c r="A109" s="95"/>
      <c r="B109" s="107"/>
      <c r="C109" s="100"/>
      <c r="D109" s="101"/>
      <c r="E109" s="99"/>
      <c r="F109" s="100"/>
      <c r="G109" s="101"/>
      <c r="H109" s="99"/>
      <c r="I109" s="100"/>
      <c r="J109" s="105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23.25" hidden="1" customHeight="1" outlineLevel="1">
      <c r="A110" s="95"/>
      <c r="B110" s="107"/>
      <c r="C110" s="100"/>
      <c r="D110" s="101"/>
      <c r="E110" s="99"/>
      <c r="F110" s="100"/>
      <c r="G110" s="101"/>
      <c r="H110" s="99"/>
      <c r="I110" s="100"/>
      <c r="J110" s="105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23.25" hidden="1" customHeight="1" outlineLevel="1">
      <c r="A111" s="95"/>
      <c r="B111" s="107"/>
      <c r="C111" s="100"/>
      <c r="D111" s="101"/>
      <c r="E111" s="99"/>
      <c r="F111" s="100"/>
      <c r="G111" s="101"/>
      <c r="H111" s="99"/>
      <c r="I111" s="100"/>
      <c r="J111" s="105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23.25" hidden="1" customHeight="1" outlineLevel="1">
      <c r="A112" s="95"/>
      <c r="B112" s="107"/>
      <c r="C112" s="100"/>
      <c r="D112" s="101"/>
      <c r="E112" s="99"/>
      <c r="F112" s="100"/>
      <c r="G112" s="101"/>
      <c r="H112" s="99"/>
      <c r="I112" s="100"/>
      <c r="J112" s="105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23.25" hidden="1" customHeight="1" outlineLevel="1">
      <c r="A113" s="95"/>
      <c r="B113" s="107"/>
      <c r="C113" s="100"/>
      <c r="D113" s="101"/>
      <c r="E113" s="99"/>
      <c r="F113" s="100"/>
      <c r="G113" s="101"/>
      <c r="H113" s="99"/>
      <c r="I113" s="100"/>
      <c r="J113" s="105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23.25" hidden="1" customHeight="1" outlineLevel="1">
      <c r="A114" s="95"/>
      <c r="B114" s="107"/>
      <c r="C114" s="100"/>
      <c r="D114" s="101"/>
      <c r="E114" s="99"/>
      <c r="F114" s="100"/>
      <c r="G114" s="101"/>
      <c r="H114" s="99"/>
      <c r="I114" s="100"/>
      <c r="J114" s="105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23.25" hidden="1" customHeight="1" outlineLevel="1">
      <c r="A115" s="95"/>
      <c r="B115" s="107"/>
      <c r="C115" s="100"/>
      <c r="D115" s="101"/>
      <c r="E115" s="99"/>
      <c r="F115" s="100"/>
      <c r="G115" s="101"/>
      <c r="H115" s="99"/>
      <c r="I115" s="100"/>
      <c r="J115" s="105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23.25" hidden="1" customHeight="1" outlineLevel="1">
      <c r="A116" s="95"/>
      <c r="B116" s="107"/>
      <c r="C116" s="100"/>
      <c r="D116" s="101"/>
      <c r="E116" s="99"/>
      <c r="F116" s="100"/>
      <c r="G116" s="101"/>
      <c r="H116" s="99"/>
      <c r="I116" s="100"/>
      <c r="J116" s="105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23.25" hidden="1" customHeight="1" outlineLevel="1">
      <c r="A117" s="95"/>
      <c r="B117" s="107"/>
      <c r="C117" s="100"/>
      <c r="D117" s="101"/>
      <c r="E117" s="99"/>
      <c r="F117" s="100"/>
      <c r="G117" s="101"/>
      <c r="H117" s="99"/>
      <c r="I117" s="100"/>
      <c r="J117" s="105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23.25" hidden="1" customHeight="1" outlineLevel="1">
      <c r="A118" s="95"/>
      <c r="B118" s="107"/>
      <c r="C118" s="100"/>
      <c r="D118" s="101"/>
      <c r="E118" s="99"/>
      <c r="F118" s="100"/>
      <c r="G118" s="101"/>
      <c r="H118" s="99"/>
      <c r="I118" s="100"/>
      <c r="J118" s="105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23.25" hidden="1" customHeight="1" outlineLevel="1">
      <c r="A119" s="95"/>
      <c r="B119" s="107"/>
      <c r="C119" s="100"/>
      <c r="D119" s="101"/>
      <c r="E119" s="99"/>
      <c r="F119" s="100"/>
      <c r="G119" s="101"/>
      <c r="H119" s="99"/>
      <c r="I119" s="100"/>
      <c r="J119" s="105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23.25" hidden="1" customHeight="1" outlineLevel="1">
      <c r="A120" s="95"/>
      <c r="B120" s="107"/>
      <c r="C120" s="100"/>
      <c r="D120" s="101"/>
      <c r="E120" s="99"/>
      <c r="F120" s="100"/>
      <c r="G120" s="101"/>
      <c r="H120" s="99"/>
      <c r="I120" s="100"/>
      <c r="J120" s="105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23.25" hidden="1" customHeight="1" outlineLevel="1">
      <c r="A121" s="95"/>
      <c r="B121" s="107"/>
      <c r="C121" s="100"/>
      <c r="D121" s="101"/>
      <c r="E121" s="99"/>
      <c r="F121" s="100"/>
      <c r="G121" s="101"/>
      <c r="H121" s="99"/>
      <c r="I121" s="100"/>
      <c r="J121" s="105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23.25" hidden="1" customHeight="1" outlineLevel="1">
      <c r="A122" s="95"/>
      <c r="B122" s="107"/>
      <c r="C122" s="100"/>
      <c r="D122" s="101"/>
      <c r="E122" s="99"/>
      <c r="F122" s="100"/>
      <c r="G122" s="101"/>
      <c r="H122" s="99"/>
      <c r="I122" s="100"/>
      <c r="J122" s="105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23.25" hidden="1" customHeight="1" outlineLevel="1">
      <c r="A123" s="95"/>
      <c r="B123" s="107"/>
      <c r="C123" s="100"/>
      <c r="D123" s="101"/>
      <c r="E123" s="99"/>
      <c r="F123" s="100"/>
      <c r="G123" s="101"/>
      <c r="H123" s="99"/>
      <c r="I123" s="100"/>
      <c r="J123" s="105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23.25" hidden="1" customHeight="1" outlineLevel="1">
      <c r="A124" s="95"/>
      <c r="B124" s="107"/>
      <c r="C124" s="100"/>
      <c r="D124" s="101"/>
      <c r="E124" s="99"/>
      <c r="F124" s="100"/>
      <c r="G124" s="101"/>
      <c r="H124" s="99"/>
      <c r="I124" s="100"/>
      <c r="J124" s="105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23.25" hidden="1" customHeight="1" outlineLevel="1">
      <c r="A125" s="95"/>
      <c r="B125" s="107"/>
      <c r="C125" s="100"/>
      <c r="D125" s="101"/>
      <c r="E125" s="99"/>
      <c r="F125" s="100"/>
      <c r="G125" s="101"/>
      <c r="H125" s="99"/>
      <c r="I125" s="100"/>
      <c r="J125" s="105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23.25" hidden="1" customHeight="1" outlineLevel="1">
      <c r="A126" s="95"/>
      <c r="B126" s="107"/>
      <c r="C126" s="100"/>
      <c r="D126" s="101"/>
      <c r="E126" s="99"/>
      <c r="F126" s="100"/>
      <c r="G126" s="101"/>
      <c r="H126" s="99"/>
      <c r="I126" s="100"/>
      <c r="J126" s="105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23.25" hidden="1" customHeight="1" outlineLevel="1">
      <c r="A127" s="95"/>
      <c r="B127" s="107"/>
      <c r="C127" s="100"/>
      <c r="D127" s="101"/>
      <c r="E127" s="99"/>
      <c r="F127" s="100"/>
      <c r="G127" s="101"/>
      <c r="H127" s="99"/>
      <c r="I127" s="100"/>
      <c r="J127" s="105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23.25" hidden="1" customHeight="1" outlineLevel="1">
      <c r="A128" s="95"/>
      <c r="B128" s="107"/>
      <c r="C128" s="100"/>
      <c r="D128" s="101"/>
      <c r="E128" s="99"/>
      <c r="F128" s="100"/>
      <c r="G128" s="101"/>
      <c r="H128" s="99"/>
      <c r="I128" s="100"/>
      <c r="J128" s="105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23.25" hidden="1" customHeight="1" outlineLevel="1">
      <c r="A129" s="95"/>
      <c r="B129" s="107"/>
      <c r="C129" s="100"/>
      <c r="D129" s="101"/>
      <c r="E129" s="99"/>
      <c r="F129" s="100"/>
      <c r="G129" s="101"/>
      <c r="H129" s="99"/>
      <c r="I129" s="100"/>
      <c r="J129" s="105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23.25" hidden="1" customHeight="1" outlineLevel="1">
      <c r="A130" s="132"/>
      <c r="B130" s="134"/>
      <c r="C130" s="136"/>
      <c r="D130" s="137"/>
      <c r="E130" s="139"/>
      <c r="F130" s="136"/>
      <c r="G130" s="137"/>
      <c r="H130" s="139"/>
      <c r="I130" s="136"/>
      <c r="J130" s="14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23.25" customHeight="1" collapsed="1">
      <c r="A131" s="143"/>
      <c r="B131" s="146" t="s">
        <v>57</v>
      </c>
      <c r="C131" s="148"/>
      <c r="D131" s="149">
        <f>SUM(D87:D130)</f>
        <v>722.95</v>
      </c>
      <c r="E131" s="146" t="s">
        <v>57</v>
      </c>
      <c r="F131" s="148"/>
      <c r="G131" s="149">
        <f>SUM(G87:G130)</f>
        <v>0</v>
      </c>
      <c r="H131" s="146" t="s">
        <v>57</v>
      </c>
      <c r="I131" s="148"/>
      <c r="J131" s="149">
        <f>SUM(J87:J130)</f>
        <v>1000.48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23.25" customHeight="1">
      <c r="B132" s="156"/>
      <c r="C132" s="153"/>
      <c r="D132" s="153"/>
      <c r="E132" s="154">
        <f>SUM(D131,G131,J131)</f>
        <v>1723.43</v>
      </c>
      <c r="F132" s="122"/>
      <c r="G132" s="123"/>
      <c r="H132" s="156"/>
      <c r="I132" s="153"/>
      <c r="J132" s="153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23.25" customHeight="1">
      <c r="A133" s="157"/>
      <c r="B133" s="83" t="s">
        <v>80</v>
      </c>
      <c r="C133" s="85"/>
      <c r="D133" s="86"/>
      <c r="E133" s="83" t="s">
        <v>80</v>
      </c>
      <c r="F133" s="85"/>
      <c r="G133" s="86"/>
      <c r="H133" s="83" t="s">
        <v>80</v>
      </c>
      <c r="I133" s="85"/>
      <c r="J133" s="8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23.25" hidden="1" customHeight="1" outlineLevel="1">
      <c r="A134" s="89"/>
      <c r="B134" s="90">
        <v>46131.0</v>
      </c>
      <c r="C134" s="91" t="s">
        <v>81</v>
      </c>
      <c r="D134" s="92">
        <v>50.0</v>
      </c>
      <c r="E134" s="159"/>
      <c r="F134" s="160"/>
      <c r="G134" s="161"/>
      <c r="H134" s="93">
        <v>46113.0</v>
      </c>
      <c r="I134" s="91" t="s">
        <v>82</v>
      </c>
      <c r="J134" s="94">
        <v>981.0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23.25" hidden="1" customHeight="1" outlineLevel="1">
      <c r="A135" s="95"/>
      <c r="B135" s="107"/>
      <c r="C135" s="100"/>
      <c r="D135" s="101"/>
      <c r="E135" s="99"/>
      <c r="F135" s="100"/>
      <c r="G135" s="101"/>
      <c r="H135" s="102">
        <v>46113.0</v>
      </c>
      <c r="I135" s="97" t="s">
        <v>82</v>
      </c>
      <c r="J135" s="103">
        <v>162.0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23.25" hidden="1" customHeight="1" outlineLevel="1">
      <c r="A136" s="95"/>
      <c r="B136" s="107"/>
      <c r="C136" s="100"/>
      <c r="D136" s="101"/>
      <c r="E136" s="99"/>
      <c r="F136" s="100"/>
      <c r="G136" s="101"/>
      <c r="H136" s="102">
        <v>46120.0</v>
      </c>
      <c r="I136" s="97" t="s">
        <v>63</v>
      </c>
      <c r="J136" s="103">
        <v>82.18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23.25" hidden="1" customHeight="1" outlineLevel="1">
      <c r="A137" s="95"/>
      <c r="B137" s="107"/>
      <c r="C137" s="100"/>
      <c r="D137" s="101"/>
      <c r="E137" s="99"/>
      <c r="F137" s="100"/>
      <c r="G137" s="101"/>
      <c r="H137" s="102">
        <v>46120.0</v>
      </c>
      <c r="I137" s="97" t="s">
        <v>63</v>
      </c>
      <c r="J137" s="103">
        <v>29.3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23.25" hidden="1" customHeight="1" outlineLevel="1">
      <c r="A138" s="95"/>
      <c r="B138" s="107"/>
      <c r="C138" s="100"/>
      <c r="D138" s="101"/>
      <c r="E138" s="99"/>
      <c r="F138" s="100"/>
      <c r="G138" s="101"/>
      <c r="H138" s="102">
        <v>46125.0</v>
      </c>
      <c r="I138" s="97" t="s">
        <v>78</v>
      </c>
      <c r="J138" s="103">
        <v>53.18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23.25" hidden="1" customHeight="1" outlineLevel="1">
      <c r="A139" s="95"/>
      <c r="B139" s="107"/>
      <c r="C139" s="100"/>
      <c r="D139" s="101"/>
      <c r="E139" s="99"/>
      <c r="F139" s="100"/>
      <c r="G139" s="101"/>
      <c r="H139" s="173">
        <v>46130.0</v>
      </c>
      <c r="I139" s="97" t="s">
        <v>83</v>
      </c>
      <c r="J139" s="103">
        <v>159.7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23.25" hidden="1" customHeight="1" outlineLevel="1">
      <c r="A140" s="95"/>
      <c r="B140" s="107"/>
      <c r="C140" s="100"/>
      <c r="D140" s="101"/>
      <c r="E140" s="99"/>
      <c r="F140" s="100"/>
      <c r="G140" s="101"/>
      <c r="H140" s="102">
        <v>46133.0</v>
      </c>
      <c r="I140" s="97" t="s">
        <v>84</v>
      </c>
      <c r="J140" s="103">
        <v>119.98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23.25" hidden="1" customHeight="1" outlineLevel="1">
      <c r="A141" s="95"/>
      <c r="B141" s="107"/>
      <c r="C141" s="100"/>
      <c r="D141" s="101"/>
      <c r="E141" s="99"/>
      <c r="F141" s="100"/>
      <c r="G141" s="101"/>
      <c r="H141" s="102">
        <v>46135.0</v>
      </c>
      <c r="I141" s="97" t="s">
        <v>65</v>
      </c>
      <c r="J141" s="103">
        <v>50.0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23.25" hidden="1" customHeight="1" outlineLevel="1">
      <c r="A142" s="95"/>
      <c r="B142" s="107"/>
      <c r="C142" s="100"/>
      <c r="D142" s="101"/>
      <c r="E142" s="99"/>
      <c r="F142" s="100"/>
      <c r="G142" s="101"/>
      <c r="H142" s="99"/>
      <c r="I142" s="100"/>
      <c r="J142" s="105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23.25" hidden="1" customHeight="1" outlineLevel="1">
      <c r="A143" s="95"/>
      <c r="B143" s="107"/>
      <c r="C143" s="109"/>
      <c r="D143" s="101"/>
      <c r="E143" s="99"/>
      <c r="F143" s="100"/>
      <c r="G143" s="101"/>
      <c r="H143" s="99"/>
      <c r="I143" s="100"/>
      <c r="J143" s="105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23.25" hidden="1" customHeight="1" outlineLevel="1">
      <c r="A144" s="95"/>
      <c r="B144" s="107"/>
      <c r="C144" s="100"/>
      <c r="D144" s="101"/>
      <c r="E144" s="99"/>
      <c r="F144" s="100"/>
      <c r="G144" s="101"/>
      <c r="H144" s="99"/>
      <c r="I144" s="100"/>
      <c r="J144" s="105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23.25" hidden="1" customHeight="1" outlineLevel="1">
      <c r="A145" s="95"/>
      <c r="B145" s="107"/>
      <c r="C145" s="100"/>
      <c r="D145" s="101"/>
      <c r="E145" s="99"/>
      <c r="F145" s="100"/>
      <c r="G145" s="101"/>
      <c r="H145" s="99"/>
      <c r="I145" s="100"/>
      <c r="J145" s="105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23.25" hidden="1" customHeight="1" outlineLevel="1">
      <c r="A146" s="95"/>
      <c r="B146" s="107"/>
      <c r="C146" s="100"/>
      <c r="D146" s="101"/>
      <c r="E146" s="99"/>
      <c r="F146" s="100"/>
      <c r="G146" s="101"/>
      <c r="H146" s="99"/>
      <c r="I146" s="100"/>
      <c r="J146" s="105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23.25" hidden="1" customHeight="1" outlineLevel="1">
      <c r="A147" s="95"/>
      <c r="B147" s="107"/>
      <c r="C147" s="100"/>
      <c r="D147" s="101"/>
      <c r="E147" s="99"/>
      <c r="F147" s="100"/>
      <c r="G147" s="101"/>
      <c r="H147" s="99"/>
      <c r="I147" s="100"/>
      <c r="J147" s="105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23.25" hidden="1" customHeight="1" outlineLevel="1">
      <c r="A148" s="95"/>
      <c r="B148" s="107"/>
      <c r="C148" s="100"/>
      <c r="D148" s="101"/>
      <c r="E148" s="99"/>
      <c r="F148" s="100"/>
      <c r="G148" s="101"/>
      <c r="H148" s="99"/>
      <c r="I148" s="100"/>
      <c r="J148" s="105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23.25" hidden="1" customHeight="1" outlineLevel="1">
      <c r="A149" s="95"/>
      <c r="B149" s="107"/>
      <c r="C149" s="100"/>
      <c r="D149" s="101"/>
      <c r="E149" s="99"/>
      <c r="F149" s="100"/>
      <c r="G149" s="101"/>
      <c r="H149" s="99"/>
      <c r="I149" s="100"/>
      <c r="J149" s="105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23.25" hidden="1" customHeight="1" outlineLevel="1">
      <c r="A150" s="95"/>
      <c r="B150" s="107"/>
      <c r="C150" s="100"/>
      <c r="D150" s="101"/>
      <c r="E150" s="99"/>
      <c r="F150" s="100"/>
      <c r="G150" s="101"/>
      <c r="H150" s="99"/>
      <c r="I150" s="100"/>
      <c r="J150" s="105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23.25" hidden="1" customHeight="1" outlineLevel="1">
      <c r="A151" s="95"/>
      <c r="B151" s="107"/>
      <c r="C151" s="100"/>
      <c r="D151" s="101"/>
      <c r="E151" s="99"/>
      <c r="F151" s="100"/>
      <c r="G151" s="101"/>
      <c r="H151" s="99"/>
      <c r="I151" s="100"/>
      <c r="J151" s="105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23.25" hidden="1" customHeight="1" outlineLevel="1">
      <c r="A152" s="95"/>
      <c r="B152" s="107"/>
      <c r="C152" s="100"/>
      <c r="D152" s="101"/>
      <c r="E152" s="99"/>
      <c r="F152" s="100"/>
      <c r="G152" s="101"/>
      <c r="H152" s="99"/>
      <c r="I152" s="100"/>
      <c r="J152" s="105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23.25" hidden="1" customHeight="1" outlineLevel="1">
      <c r="A153" s="95"/>
      <c r="B153" s="107"/>
      <c r="C153" s="100"/>
      <c r="D153" s="101"/>
      <c r="E153" s="99"/>
      <c r="F153" s="100"/>
      <c r="G153" s="101"/>
      <c r="H153" s="99"/>
      <c r="I153" s="100"/>
      <c r="J153" s="105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23.25" hidden="1" customHeight="1" outlineLevel="1">
      <c r="A154" s="95"/>
      <c r="B154" s="107"/>
      <c r="C154" s="100"/>
      <c r="D154" s="101"/>
      <c r="E154" s="99"/>
      <c r="F154" s="100"/>
      <c r="G154" s="101"/>
      <c r="H154" s="99"/>
      <c r="I154" s="100"/>
      <c r="J154" s="105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23.25" hidden="1" customHeight="1" outlineLevel="1">
      <c r="A155" s="95"/>
      <c r="B155" s="107"/>
      <c r="C155" s="100"/>
      <c r="D155" s="101"/>
      <c r="E155" s="99"/>
      <c r="F155" s="100"/>
      <c r="G155" s="101"/>
      <c r="H155" s="99"/>
      <c r="I155" s="100"/>
      <c r="J155" s="105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23.25" hidden="1" customHeight="1" outlineLevel="1">
      <c r="A156" s="95"/>
      <c r="B156" s="107"/>
      <c r="C156" s="100"/>
      <c r="D156" s="101"/>
      <c r="E156" s="99"/>
      <c r="F156" s="100"/>
      <c r="G156" s="101"/>
      <c r="H156" s="99"/>
      <c r="I156" s="100"/>
      <c r="J156" s="105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23.25" hidden="1" customHeight="1" outlineLevel="1">
      <c r="A157" s="95"/>
      <c r="B157" s="107"/>
      <c r="C157" s="100"/>
      <c r="D157" s="101"/>
      <c r="E157" s="99"/>
      <c r="F157" s="100"/>
      <c r="G157" s="101"/>
      <c r="H157" s="99"/>
      <c r="I157" s="100"/>
      <c r="J157" s="105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23.25" hidden="1" customHeight="1" outlineLevel="1">
      <c r="A158" s="95"/>
      <c r="B158" s="107"/>
      <c r="C158" s="100"/>
      <c r="D158" s="101"/>
      <c r="E158" s="99"/>
      <c r="F158" s="100"/>
      <c r="G158" s="101"/>
      <c r="H158" s="99"/>
      <c r="I158" s="100"/>
      <c r="J158" s="105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23.25" hidden="1" customHeight="1" outlineLevel="1">
      <c r="A159" s="95"/>
      <c r="B159" s="107"/>
      <c r="C159" s="100"/>
      <c r="D159" s="101"/>
      <c r="E159" s="99"/>
      <c r="F159" s="100"/>
      <c r="G159" s="101"/>
      <c r="H159" s="99"/>
      <c r="I159" s="100"/>
      <c r="J159" s="105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23.25" hidden="1" customHeight="1" outlineLevel="1">
      <c r="A160" s="95"/>
      <c r="B160" s="107"/>
      <c r="C160" s="100"/>
      <c r="D160" s="101"/>
      <c r="E160" s="99"/>
      <c r="F160" s="100"/>
      <c r="G160" s="101"/>
      <c r="H160" s="99"/>
      <c r="I160" s="100"/>
      <c r="J160" s="105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23.25" hidden="1" customHeight="1" outlineLevel="1">
      <c r="A161" s="95"/>
      <c r="B161" s="107"/>
      <c r="C161" s="100"/>
      <c r="D161" s="101"/>
      <c r="E161" s="99"/>
      <c r="F161" s="100"/>
      <c r="G161" s="101"/>
      <c r="H161" s="99"/>
      <c r="I161" s="100"/>
      <c r="J161" s="105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23.25" hidden="1" customHeight="1" outlineLevel="1">
      <c r="A162" s="95"/>
      <c r="B162" s="107"/>
      <c r="C162" s="100"/>
      <c r="D162" s="101"/>
      <c r="E162" s="99"/>
      <c r="F162" s="100"/>
      <c r="G162" s="101"/>
      <c r="H162" s="99"/>
      <c r="I162" s="100"/>
      <c r="J162" s="105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23.25" hidden="1" customHeight="1" outlineLevel="1">
      <c r="A163" s="95"/>
      <c r="B163" s="107"/>
      <c r="C163" s="100"/>
      <c r="D163" s="101"/>
      <c r="E163" s="99"/>
      <c r="F163" s="100"/>
      <c r="G163" s="101"/>
      <c r="H163" s="99"/>
      <c r="I163" s="100"/>
      <c r="J163" s="105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23.25" hidden="1" customHeight="1" outlineLevel="1">
      <c r="A164" s="95"/>
      <c r="B164" s="107"/>
      <c r="C164" s="100"/>
      <c r="D164" s="101"/>
      <c r="E164" s="99"/>
      <c r="F164" s="100"/>
      <c r="G164" s="101"/>
      <c r="H164" s="99"/>
      <c r="I164" s="100"/>
      <c r="J164" s="105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23.25" hidden="1" customHeight="1" outlineLevel="1">
      <c r="A165" s="95"/>
      <c r="B165" s="107"/>
      <c r="C165" s="100"/>
      <c r="D165" s="101"/>
      <c r="E165" s="99"/>
      <c r="F165" s="100"/>
      <c r="G165" s="101"/>
      <c r="H165" s="99"/>
      <c r="I165" s="100"/>
      <c r="J165" s="105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23.25" hidden="1" customHeight="1" outlineLevel="1">
      <c r="A166" s="95"/>
      <c r="B166" s="107"/>
      <c r="C166" s="100"/>
      <c r="D166" s="101"/>
      <c r="E166" s="99"/>
      <c r="F166" s="100"/>
      <c r="G166" s="101"/>
      <c r="H166" s="99"/>
      <c r="I166" s="100"/>
      <c r="J166" s="105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23.25" hidden="1" customHeight="1" outlineLevel="1">
      <c r="A167" s="95"/>
      <c r="B167" s="107"/>
      <c r="C167" s="100"/>
      <c r="D167" s="101"/>
      <c r="E167" s="99"/>
      <c r="F167" s="100"/>
      <c r="G167" s="101"/>
      <c r="H167" s="99"/>
      <c r="I167" s="100"/>
      <c r="J167" s="105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23.25" hidden="1" customHeight="1" outlineLevel="1">
      <c r="A168" s="95"/>
      <c r="B168" s="107"/>
      <c r="C168" s="100"/>
      <c r="D168" s="101"/>
      <c r="E168" s="99"/>
      <c r="F168" s="100"/>
      <c r="G168" s="101"/>
      <c r="H168" s="99"/>
      <c r="I168" s="100"/>
      <c r="J168" s="105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23.25" hidden="1" customHeight="1" outlineLevel="1">
      <c r="A169" s="95"/>
      <c r="B169" s="107"/>
      <c r="C169" s="100"/>
      <c r="D169" s="101"/>
      <c r="E169" s="99"/>
      <c r="F169" s="100"/>
      <c r="G169" s="101"/>
      <c r="H169" s="99"/>
      <c r="I169" s="100"/>
      <c r="J169" s="105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23.25" hidden="1" customHeight="1" outlineLevel="1">
      <c r="A170" s="95"/>
      <c r="B170" s="107"/>
      <c r="C170" s="100"/>
      <c r="D170" s="101"/>
      <c r="E170" s="99"/>
      <c r="F170" s="100"/>
      <c r="G170" s="101"/>
      <c r="H170" s="99"/>
      <c r="I170" s="100"/>
      <c r="J170" s="105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23.25" hidden="1" customHeight="1" outlineLevel="1">
      <c r="A171" s="95"/>
      <c r="B171" s="107"/>
      <c r="C171" s="100"/>
      <c r="D171" s="101"/>
      <c r="E171" s="99"/>
      <c r="F171" s="100"/>
      <c r="G171" s="101"/>
      <c r="H171" s="99"/>
      <c r="I171" s="100"/>
      <c r="J171" s="105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23.25" hidden="1" customHeight="1" outlineLevel="1">
      <c r="A172" s="95"/>
      <c r="B172" s="107"/>
      <c r="C172" s="100"/>
      <c r="D172" s="101"/>
      <c r="E172" s="99"/>
      <c r="F172" s="100"/>
      <c r="G172" s="101"/>
      <c r="H172" s="99"/>
      <c r="I172" s="100"/>
      <c r="J172" s="105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23.25" hidden="1" customHeight="1" outlineLevel="1">
      <c r="A173" s="95"/>
      <c r="B173" s="107"/>
      <c r="C173" s="100"/>
      <c r="D173" s="101"/>
      <c r="E173" s="99"/>
      <c r="F173" s="100"/>
      <c r="G173" s="101"/>
      <c r="H173" s="99"/>
      <c r="I173" s="100"/>
      <c r="J173" s="105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23.25" hidden="1" customHeight="1" outlineLevel="1">
      <c r="A174" s="95"/>
      <c r="B174" s="107"/>
      <c r="C174" s="100"/>
      <c r="D174" s="101"/>
      <c r="E174" s="99"/>
      <c r="F174" s="100"/>
      <c r="G174" s="101"/>
      <c r="H174" s="99"/>
      <c r="I174" s="100"/>
      <c r="J174" s="105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23.25" hidden="1" customHeight="1" outlineLevel="1">
      <c r="A175" s="95"/>
      <c r="B175" s="107"/>
      <c r="C175" s="100"/>
      <c r="D175" s="101"/>
      <c r="E175" s="99"/>
      <c r="F175" s="100"/>
      <c r="G175" s="101"/>
      <c r="H175" s="99"/>
      <c r="I175" s="100"/>
      <c r="J175" s="105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23.25" hidden="1" customHeight="1" outlineLevel="1">
      <c r="A176" s="95"/>
      <c r="B176" s="107"/>
      <c r="C176" s="100"/>
      <c r="D176" s="101"/>
      <c r="E176" s="99"/>
      <c r="F176" s="100"/>
      <c r="G176" s="101"/>
      <c r="H176" s="99"/>
      <c r="I176" s="100"/>
      <c r="J176" s="105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23.25" hidden="1" customHeight="1" outlineLevel="1">
      <c r="A177" s="132"/>
      <c r="B177" s="134"/>
      <c r="C177" s="136"/>
      <c r="D177" s="137"/>
      <c r="E177" s="139"/>
      <c r="F177" s="136"/>
      <c r="G177" s="137"/>
      <c r="H177" s="139"/>
      <c r="I177" s="136"/>
      <c r="J177" s="14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23.25" customHeight="1" collapsed="1">
      <c r="A178" s="143"/>
      <c r="B178" s="146" t="s">
        <v>57</v>
      </c>
      <c r="C178" s="148"/>
      <c r="D178" s="149">
        <f>SUM(D134:D177)</f>
        <v>50</v>
      </c>
      <c r="E178" s="146" t="s">
        <v>57</v>
      </c>
      <c r="F178" s="148"/>
      <c r="G178" s="149">
        <f>SUM(G134:G177)</f>
        <v>0</v>
      </c>
      <c r="H178" s="146" t="s">
        <v>57</v>
      </c>
      <c r="I178" s="148"/>
      <c r="J178" s="149">
        <f>SUM(J134:J177)</f>
        <v>1637.34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23.25" customHeight="1">
      <c r="B179" s="156"/>
      <c r="C179" s="153"/>
      <c r="D179" s="153"/>
      <c r="E179" s="154">
        <f>SUM(D178,G178,J178)</f>
        <v>1687.34</v>
      </c>
      <c r="F179" s="122"/>
      <c r="G179" s="123"/>
      <c r="H179" s="156"/>
      <c r="I179" s="153"/>
      <c r="J179" s="153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23.25" customHeight="1">
      <c r="A180" s="157"/>
      <c r="B180" s="83" t="s">
        <v>85</v>
      </c>
      <c r="C180" s="85"/>
      <c r="D180" s="86"/>
      <c r="E180" s="83" t="s">
        <v>85</v>
      </c>
      <c r="F180" s="85"/>
      <c r="G180" s="86"/>
      <c r="H180" s="83" t="s">
        <v>85</v>
      </c>
      <c r="I180" s="85"/>
      <c r="J180" s="8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23.25" hidden="1" customHeight="1" outlineLevel="1">
      <c r="A181" s="89"/>
      <c r="B181" s="90">
        <v>46165.0</v>
      </c>
      <c r="C181" s="91" t="s">
        <v>46</v>
      </c>
      <c r="D181" s="92">
        <v>277.64</v>
      </c>
      <c r="E181" s="159"/>
      <c r="F181" s="160"/>
      <c r="G181" s="161"/>
      <c r="H181" s="93">
        <v>46146.0</v>
      </c>
      <c r="I181" s="91" t="s">
        <v>65</v>
      </c>
      <c r="J181" s="94">
        <v>80.0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23.25" hidden="1" customHeight="1" outlineLevel="1">
      <c r="A182" s="95"/>
      <c r="B182" s="107"/>
      <c r="C182" s="100"/>
      <c r="D182" s="101"/>
      <c r="E182" s="99"/>
      <c r="F182" s="100"/>
      <c r="G182" s="101"/>
      <c r="H182" s="102">
        <v>46146.0</v>
      </c>
      <c r="I182" s="97" t="s">
        <v>86</v>
      </c>
      <c r="J182" s="103">
        <v>8.0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23.25" hidden="1" customHeight="1" outlineLevel="1">
      <c r="A183" s="95"/>
      <c r="B183" s="107"/>
      <c r="C183" s="100"/>
      <c r="D183" s="101"/>
      <c r="E183" s="99"/>
      <c r="F183" s="100"/>
      <c r="G183" s="101"/>
      <c r="H183" s="102">
        <v>46146.0</v>
      </c>
      <c r="I183" s="97" t="s">
        <v>87</v>
      </c>
      <c r="J183" s="103">
        <v>300.0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23.25" hidden="1" customHeight="1" outlineLevel="1">
      <c r="A184" s="95"/>
      <c r="B184" s="107"/>
      <c r="C184" s="100"/>
      <c r="D184" s="101"/>
      <c r="E184" s="99"/>
      <c r="F184" s="100"/>
      <c r="G184" s="101"/>
      <c r="H184" s="102">
        <v>46158.0</v>
      </c>
      <c r="I184" s="97" t="s">
        <v>65</v>
      </c>
      <c r="J184" s="103">
        <v>80.0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23.25" hidden="1" customHeight="1" outlineLevel="1">
      <c r="A185" s="95"/>
      <c r="B185" s="107"/>
      <c r="C185" s="100"/>
      <c r="D185" s="101"/>
      <c r="E185" s="99"/>
      <c r="F185" s="100"/>
      <c r="G185" s="101"/>
      <c r="H185" s="102">
        <v>46170.0</v>
      </c>
      <c r="I185" s="97" t="s">
        <v>88</v>
      </c>
      <c r="J185" s="103">
        <v>730.0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23.25" hidden="1" customHeight="1" outlineLevel="1">
      <c r="A186" s="95"/>
      <c r="B186" s="107"/>
      <c r="C186" s="100"/>
      <c r="D186" s="101"/>
      <c r="E186" s="99"/>
      <c r="F186" s="100"/>
      <c r="G186" s="101"/>
      <c r="H186" s="102">
        <v>46170.0</v>
      </c>
      <c r="I186" s="97" t="s">
        <v>88</v>
      </c>
      <c r="J186" s="103">
        <v>162.0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23.25" hidden="1" customHeight="1" outlineLevel="1">
      <c r="A187" s="95"/>
      <c r="B187" s="107"/>
      <c r="C187" s="100"/>
      <c r="D187" s="101"/>
      <c r="E187" s="99"/>
      <c r="F187" s="100"/>
      <c r="G187" s="101"/>
      <c r="H187" s="99"/>
      <c r="I187" s="100"/>
      <c r="J187" s="105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23.25" hidden="1" customHeight="1" outlineLevel="1">
      <c r="A188" s="95"/>
      <c r="B188" s="107"/>
      <c r="C188" s="100"/>
      <c r="D188" s="101"/>
      <c r="E188" s="99"/>
      <c r="F188" s="100"/>
      <c r="G188" s="101"/>
      <c r="H188" s="99"/>
      <c r="I188" s="100"/>
      <c r="J188" s="105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23.25" hidden="1" customHeight="1" outlineLevel="1">
      <c r="A189" s="95"/>
      <c r="B189" s="107"/>
      <c r="C189" s="100"/>
      <c r="D189" s="101"/>
      <c r="E189" s="99"/>
      <c r="F189" s="100"/>
      <c r="G189" s="101"/>
      <c r="H189" s="99"/>
      <c r="I189" s="100"/>
      <c r="J189" s="105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23.25" hidden="1" customHeight="1" outlineLevel="1">
      <c r="A190" s="95"/>
      <c r="B190" s="107"/>
      <c r="C190" s="109"/>
      <c r="D190" s="101"/>
      <c r="E190" s="99"/>
      <c r="F190" s="100"/>
      <c r="G190" s="101"/>
      <c r="H190" s="99"/>
      <c r="I190" s="100"/>
      <c r="J190" s="105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23.25" hidden="1" customHeight="1" outlineLevel="1">
      <c r="A191" s="95"/>
      <c r="B191" s="107"/>
      <c r="C191" s="100"/>
      <c r="D191" s="101"/>
      <c r="E191" s="99"/>
      <c r="F191" s="100"/>
      <c r="G191" s="101"/>
      <c r="H191" s="99"/>
      <c r="I191" s="100"/>
      <c r="J191" s="105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23.25" hidden="1" customHeight="1" outlineLevel="1">
      <c r="A192" s="95"/>
      <c r="B192" s="107"/>
      <c r="C192" s="100"/>
      <c r="D192" s="101"/>
      <c r="E192" s="99"/>
      <c r="F192" s="100"/>
      <c r="G192" s="101"/>
      <c r="H192" s="99"/>
      <c r="I192" s="100"/>
      <c r="J192" s="105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23.25" hidden="1" customHeight="1" outlineLevel="1">
      <c r="A193" s="95"/>
      <c r="B193" s="107"/>
      <c r="C193" s="100"/>
      <c r="D193" s="101"/>
      <c r="E193" s="99"/>
      <c r="F193" s="100"/>
      <c r="G193" s="101"/>
      <c r="H193" s="99"/>
      <c r="I193" s="100"/>
      <c r="J193" s="105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23.25" hidden="1" customHeight="1" outlineLevel="1">
      <c r="A194" s="95"/>
      <c r="B194" s="107"/>
      <c r="C194" s="100"/>
      <c r="D194" s="101"/>
      <c r="E194" s="99"/>
      <c r="F194" s="100"/>
      <c r="G194" s="101"/>
      <c r="H194" s="99"/>
      <c r="I194" s="100"/>
      <c r="J194" s="105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23.25" hidden="1" customHeight="1" outlineLevel="1">
      <c r="A195" s="95"/>
      <c r="B195" s="107"/>
      <c r="C195" s="100"/>
      <c r="D195" s="101"/>
      <c r="E195" s="99"/>
      <c r="F195" s="100"/>
      <c r="G195" s="101"/>
      <c r="H195" s="99"/>
      <c r="I195" s="100"/>
      <c r="J195" s="105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23.25" hidden="1" customHeight="1" outlineLevel="1">
      <c r="A196" s="95"/>
      <c r="B196" s="107"/>
      <c r="C196" s="100"/>
      <c r="D196" s="101"/>
      <c r="E196" s="99"/>
      <c r="F196" s="100"/>
      <c r="G196" s="101"/>
      <c r="H196" s="99"/>
      <c r="I196" s="100"/>
      <c r="J196" s="105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23.25" hidden="1" customHeight="1" outlineLevel="1">
      <c r="A197" s="95"/>
      <c r="B197" s="107"/>
      <c r="C197" s="100"/>
      <c r="D197" s="101"/>
      <c r="E197" s="99"/>
      <c r="F197" s="100"/>
      <c r="G197" s="101"/>
      <c r="H197" s="99"/>
      <c r="I197" s="100"/>
      <c r="J197" s="105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23.25" hidden="1" customHeight="1" outlineLevel="1">
      <c r="A198" s="95"/>
      <c r="B198" s="107"/>
      <c r="C198" s="100"/>
      <c r="D198" s="101"/>
      <c r="E198" s="99"/>
      <c r="F198" s="100"/>
      <c r="G198" s="101"/>
      <c r="H198" s="99"/>
      <c r="I198" s="100"/>
      <c r="J198" s="105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23.25" hidden="1" customHeight="1" outlineLevel="1">
      <c r="A199" s="95"/>
      <c r="B199" s="107"/>
      <c r="C199" s="100"/>
      <c r="D199" s="101"/>
      <c r="E199" s="99"/>
      <c r="F199" s="100"/>
      <c r="G199" s="101"/>
      <c r="H199" s="99"/>
      <c r="I199" s="100"/>
      <c r="J199" s="105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23.25" hidden="1" customHeight="1" outlineLevel="1">
      <c r="A200" s="95"/>
      <c r="B200" s="107"/>
      <c r="C200" s="100"/>
      <c r="D200" s="101"/>
      <c r="E200" s="99"/>
      <c r="F200" s="100"/>
      <c r="G200" s="101"/>
      <c r="H200" s="99"/>
      <c r="I200" s="100"/>
      <c r="J200" s="105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23.25" hidden="1" customHeight="1" outlineLevel="1">
      <c r="A201" s="95"/>
      <c r="B201" s="107"/>
      <c r="C201" s="100"/>
      <c r="D201" s="101"/>
      <c r="E201" s="99"/>
      <c r="F201" s="100"/>
      <c r="G201" s="101"/>
      <c r="H201" s="99"/>
      <c r="I201" s="100"/>
      <c r="J201" s="105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23.25" hidden="1" customHeight="1" outlineLevel="1">
      <c r="A202" s="95"/>
      <c r="B202" s="107"/>
      <c r="C202" s="100"/>
      <c r="D202" s="101"/>
      <c r="E202" s="99"/>
      <c r="F202" s="100"/>
      <c r="G202" s="101"/>
      <c r="H202" s="99"/>
      <c r="I202" s="100"/>
      <c r="J202" s="105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23.25" hidden="1" customHeight="1" outlineLevel="1">
      <c r="A203" s="95"/>
      <c r="B203" s="107"/>
      <c r="C203" s="100"/>
      <c r="D203" s="101"/>
      <c r="E203" s="99"/>
      <c r="F203" s="100"/>
      <c r="G203" s="101"/>
      <c r="H203" s="99"/>
      <c r="I203" s="100"/>
      <c r="J203" s="105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23.25" hidden="1" customHeight="1" outlineLevel="1">
      <c r="A204" s="95"/>
      <c r="B204" s="107"/>
      <c r="C204" s="100"/>
      <c r="D204" s="101"/>
      <c r="E204" s="99"/>
      <c r="F204" s="100"/>
      <c r="G204" s="101"/>
      <c r="H204" s="99"/>
      <c r="I204" s="100"/>
      <c r="J204" s="105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23.25" hidden="1" customHeight="1" outlineLevel="1">
      <c r="A205" s="95"/>
      <c r="B205" s="107"/>
      <c r="C205" s="100"/>
      <c r="D205" s="101"/>
      <c r="E205" s="99"/>
      <c r="F205" s="100"/>
      <c r="G205" s="101"/>
      <c r="H205" s="99"/>
      <c r="I205" s="100"/>
      <c r="J205" s="105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23.25" hidden="1" customHeight="1" outlineLevel="1">
      <c r="A206" s="95"/>
      <c r="B206" s="107"/>
      <c r="C206" s="100"/>
      <c r="D206" s="101"/>
      <c r="E206" s="99"/>
      <c r="F206" s="100"/>
      <c r="G206" s="101"/>
      <c r="H206" s="99"/>
      <c r="I206" s="100"/>
      <c r="J206" s="105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23.25" hidden="1" customHeight="1" outlineLevel="1">
      <c r="A207" s="95"/>
      <c r="B207" s="107"/>
      <c r="C207" s="100"/>
      <c r="D207" s="101"/>
      <c r="E207" s="99"/>
      <c r="F207" s="100"/>
      <c r="G207" s="101"/>
      <c r="H207" s="99"/>
      <c r="I207" s="100"/>
      <c r="J207" s="105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23.25" hidden="1" customHeight="1" outlineLevel="1">
      <c r="A208" s="95"/>
      <c r="B208" s="107"/>
      <c r="C208" s="100"/>
      <c r="D208" s="101"/>
      <c r="E208" s="99"/>
      <c r="F208" s="100"/>
      <c r="G208" s="101"/>
      <c r="H208" s="99"/>
      <c r="I208" s="100"/>
      <c r="J208" s="105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23.25" hidden="1" customHeight="1" outlineLevel="1">
      <c r="A209" s="95"/>
      <c r="B209" s="107"/>
      <c r="C209" s="100"/>
      <c r="D209" s="101"/>
      <c r="E209" s="99"/>
      <c r="F209" s="100"/>
      <c r="G209" s="101"/>
      <c r="H209" s="99"/>
      <c r="I209" s="100"/>
      <c r="J209" s="105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23.25" hidden="1" customHeight="1" outlineLevel="1">
      <c r="A210" s="95"/>
      <c r="B210" s="107"/>
      <c r="C210" s="100"/>
      <c r="D210" s="101"/>
      <c r="E210" s="99"/>
      <c r="F210" s="100"/>
      <c r="G210" s="101"/>
      <c r="H210" s="99"/>
      <c r="I210" s="100"/>
      <c r="J210" s="105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23.25" hidden="1" customHeight="1" outlineLevel="1">
      <c r="A211" s="95"/>
      <c r="B211" s="107"/>
      <c r="C211" s="100"/>
      <c r="D211" s="101"/>
      <c r="E211" s="99"/>
      <c r="F211" s="100"/>
      <c r="G211" s="101"/>
      <c r="H211" s="99"/>
      <c r="I211" s="100"/>
      <c r="J211" s="105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23.25" hidden="1" customHeight="1" outlineLevel="1">
      <c r="A212" s="95"/>
      <c r="B212" s="107"/>
      <c r="C212" s="100"/>
      <c r="D212" s="101"/>
      <c r="E212" s="99"/>
      <c r="F212" s="100"/>
      <c r="G212" s="101"/>
      <c r="H212" s="99"/>
      <c r="I212" s="100"/>
      <c r="J212" s="105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23.25" hidden="1" customHeight="1" outlineLevel="1">
      <c r="A213" s="95"/>
      <c r="B213" s="107"/>
      <c r="C213" s="100"/>
      <c r="D213" s="101"/>
      <c r="E213" s="99"/>
      <c r="F213" s="100"/>
      <c r="G213" s="101"/>
      <c r="H213" s="99"/>
      <c r="I213" s="100"/>
      <c r="J213" s="105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23.25" hidden="1" customHeight="1" outlineLevel="1">
      <c r="A214" s="95"/>
      <c r="B214" s="107"/>
      <c r="C214" s="100"/>
      <c r="D214" s="101"/>
      <c r="E214" s="99"/>
      <c r="F214" s="100"/>
      <c r="G214" s="101"/>
      <c r="H214" s="99"/>
      <c r="I214" s="100"/>
      <c r="J214" s="105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23.25" hidden="1" customHeight="1" outlineLevel="1">
      <c r="A215" s="95"/>
      <c r="B215" s="107"/>
      <c r="C215" s="100"/>
      <c r="D215" s="101"/>
      <c r="E215" s="99"/>
      <c r="F215" s="100"/>
      <c r="G215" s="101"/>
      <c r="H215" s="99"/>
      <c r="I215" s="100"/>
      <c r="J215" s="105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23.25" hidden="1" customHeight="1" outlineLevel="1">
      <c r="A216" s="95"/>
      <c r="B216" s="107"/>
      <c r="C216" s="100"/>
      <c r="D216" s="101"/>
      <c r="E216" s="99"/>
      <c r="F216" s="100"/>
      <c r="G216" s="101"/>
      <c r="H216" s="99"/>
      <c r="I216" s="100"/>
      <c r="J216" s="105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23.25" hidden="1" customHeight="1" outlineLevel="1">
      <c r="A217" s="95"/>
      <c r="B217" s="107"/>
      <c r="C217" s="100"/>
      <c r="D217" s="101"/>
      <c r="E217" s="99"/>
      <c r="F217" s="100"/>
      <c r="G217" s="101"/>
      <c r="H217" s="99"/>
      <c r="I217" s="100"/>
      <c r="J217" s="105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23.25" hidden="1" customHeight="1" outlineLevel="1">
      <c r="A218" s="95"/>
      <c r="B218" s="107"/>
      <c r="C218" s="100"/>
      <c r="D218" s="101"/>
      <c r="E218" s="99"/>
      <c r="F218" s="100"/>
      <c r="G218" s="101"/>
      <c r="H218" s="99"/>
      <c r="I218" s="100"/>
      <c r="J218" s="105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23.25" hidden="1" customHeight="1" outlineLevel="1">
      <c r="A219" s="95"/>
      <c r="B219" s="107"/>
      <c r="C219" s="100"/>
      <c r="D219" s="101"/>
      <c r="E219" s="99"/>
      <c r="F219" s="100"/>
      <c r="G219" s="101"/>
      <c r="H219" s="99"/>
      <c r="I219" s="100"/>
      <c r="J219" s="105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23.25" hidden="1" customHeight="1" outlineLevel="1">
      <c r="A220" s="95"/>
      <c r="B220" s="107"/>
      <c r="C220" s="100"/>
      <c r="D220" s="101"/>
      <c r="E220" s="99"/>
      <c r="F220" s="100"/>
      <c r="G220" s="101"/>
      <c r="H220" s="99"/>
      <c r="I220" s="100"/>
      <c r="J220" s="105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23.25" hidden="1" customHeight="1" outlineLevel="1">
      <c r="A221" s="95"/>
      <c r="B221" s="107"/>
      <c r="C221" s="100"/>
      <c r="D221" s="101"/>
      <c r="E221" s="99"/>
      <c r="F221" s="100"/>
      <c r="G221" s="101"/>
      <c r="H221" s="99"/>
      <c r="I221" s="100"/>
      <c r="J221" s="105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23.25" hidden="1" customHeight="1" outlineLevel="1">
      <c r="A222" s="95"/>
      <c r="B222" s="107"/>
      <c r="C222" s="100"/>
      <c r="D222" s="101"/>
      <c r="E222" s="99"/>
      <c r="F222" s="100"/>
      <c r="G222" s="101"/>
      <c r="H222" s="99"/>
      <c r="I222" s="100"/>
      <c r="J222" s="105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23.25" hidden="1" customHeight="1" outlineLevel="1">
      <c r="A223" s="95"/>
      <c r="B223" s="107"/>
      <c r="C223" s="100"/>
      <c r="D223" s="101"/>
      <c r="E223" s="99"/>
      <c r="F223" s="100"/>
      <c r="G223" s="101"/>
      <c r="H223" s="99"/>
      <c r="I223" s="100"/>
      <c r="J223" s="105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23.25" hidden="1" customHeight="1" outlineLevel="1">
      <c r="A224" s="132"/>
      <c r="B224" s="134"/>
      <c r="C224" s="136"/>
      <c r="D224" s="137"/>
      <c r="E224" s="139"/>
      <c r="F224" s="136"/>
      <c r="G224" s="137"/>
      <c r="H224" s="139"/>
      <c r="I224" s="136"/>
      <c r="J224" s="14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23.25" customHeight="1" collapsed="1">
      <c r="A225" s="143"/>
      <c r="B225" s="146" t="s">
        <v>57</v>
      </c>
      <c r="C225" s="148"/>
      <c r="D225" s="149">
        <f>SUM(D181:D224)</f>
        <v>277.64</v>
      </c>
      <c r="E225" s="146" t="s">
        <v>57</v>
      </c>
      <c r="F225" s="148"/>
      <c r="G225" s="149">
        <f>SUM(G181:G224)</f>
        <v>0</v>
      </c>
      <c r="H225" s="146" t="s">
        <v>57</v>
      </c>
      <c r="I225" s="148"/>
      <c r="J225" s="149">
        <f>SUM(J181:J224)</f>
        <v>1360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23.25" customHeight="1">
      <c r="B226" s="156"/>
      <c r="C226" s="153"/>
      <c r="D226" s="153"/>
      <c r="E226" s="154">
        <f>SUM(D225,G225,J225)</f>
        <v>1637.64</v>
      </c>
      <c r="F226" s="122"/>
      <c r="G226" s="123"/>
      <c r="H226" s="156"/>
      <c r="I226" s="153"/>
      <c r="J226" s="153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23.25" customHeight="1">
      <c r="A227" s="157"/>
      <c r="B227" s="83" t="s">
        <v>89</v>
      </c>
      <c r="C227" s="85"/>
      <c r="D227" s="86"/>
      <c r="E227" s="83" t="s">
        <v>89</v>
      </c>
      <c r="F227" s="85"/>
      <c r="G227" s="86"/>
      <c r="H227" s="83" t="s">
        <v>89</v>
      </c>
      <c r="I227" s="85"/>
      <c r="J227" s="86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23.25" hidden="1" customHeight="1" outlineLevel="1">
      <c r="A228" s="89"/>
      <c r="B228" s="174"/>
      <c r="C228" s="160"/>
      <c r="D228" s="161"/>
      <c r="E228" s="159"/>
      <c r="F228" s="160"/>
      <c r="G228" s="161"/>
      <c r="H228" s="93">
        <v>46175.0</v>
      </c>
      <c r="I228" s="91" t="s">
        <v>90</v>
      </c>
      <c r="J228" s="94">
        <v>60.97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23.25" hidden="1" customHeight="1" outlineLevel="1">
      <c r="A229" s="95"/>
      <c r="B229" s="96">
        <v>46183.0</v>
      </c>
      <c r="C229" s="97" t="s">
        <v>46</v>
      </c>
      <c r="D229" s="98">
        <v>304.53</v>
      </c>
      <c r="E229" s="99"/>
      <c r="F229" s="100"/>
      <c r="G229" s="101"/>
      <c r="H229" s="99"/>
      <c r="I229" s="100"/>
      <c r="J229" s="105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23.25" hidden="1" customHeight="1" outlineLevel="1">
      <c r="A230" s="95"/>
      <c r="B230" s="107"/>
      <c r="C230" s="100"/>
      <c r="D230" s="101"/>
      <c r="E230" s="99"/>
      <c r="F230" s="100"/>
      <c r="G230" s="101"/>
      <c r="H230" s="99"/>
      <c r="I230" s="100"/>
      <c r="J230" s="105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23.25" hidden="1" customHeight="1" outlineLevel="1">
      <c r="A231" s="95"/>
      <c r="B231" s="107"/>
      <c r="C231" s="100"/>
      <c r="D231" s="101"/>
      <c r="E231" s="99"/>
      <c r="F231" s="100"/>
      <c r="G231" s="101"/>
      <c r="H231" s="99"/>
      <c r="I231" s="100"/>
      <c r="J231" s="105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23.25" hidden="1" customHeight="1" outlineLevel="1">
      <c r="A232" s="95"/>
      <c r="B232" s="107"/>
      <c r="C232" s="100"/>
      <c r="D232" s="101"/>
      <c r="E232" s="99"/>
      <c r="F232" s="100"/>
      <c r="G232" s="101"/>
      <c r="H232" s="99"/>
      <c r="I232" s="100"/>
      <c r="J232" s="105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23.25" hidden="1" customHeight="1" outlineLevel="1">
      <c r="A233" s="95"/>
      <c r="B233" s="107"/>
      <c r="C233" s="100"/>
      <c r="D233" s="101"/>
      <c r="E233" s="99"/>
      <c r="F233" s="100"/>
      <c r="G233" s="101"/>
      <c r="H233" s="99"/>
      <c r="I233" s="100"/>
      <c r="J233" s="105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23.25" hidden="1" customHeight="1" outlineLevel="1">
      <c r="A234" s="95"/>
      <c r="B234" s="107"/>
      <c r="C234" s="100"/>
      <c r="D234" s="101"/>
      <c r="E234" s="99"/>
      <c r="F234" s="100"/>
      <c r="G234" s="101"/>
      <c r="H234" s="99"/>
      <c r="I234" s="100"/>
      <c r="J234" s="105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23.25" hidden="1" customHeight="1" outlineLevel="1">
      <c r="A235" s="95"/>
      <c r="B235" s="107"/>
      <c r="C235" s="100"/>
      <c r="D235" s="101"/>
      <c r="E235" s="99"/>
      <c r="F235" s="100"/>
      <c r="G235" s="101"/>
      <c r="H235" s="99"/>
      <c r="I235" s="100"/>
      <c r="J235" s="105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23.25" hidden="1" customHeight="1" outlineLevel="1">
      <c r="A236" s="95"/>
      <c r="B236" s="107"/>
      <c r="C236" s="100"/>
      <c r="D236" s="101"/>
      <c r="E236" s="99"/>
      <c r="F236" s="100"/>
      <c r="G236" s="101"/>
      <c r="H236" s="99"/>
      <c r="I236" s="100"/>
      <c r="J236" s="105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23.25" hidden="1" customHeight="1" outlineLevel="1">
      <c r="A237" s="95"/>
      <c r="B237" s="107"/>
      <c r="C237" s="109"/>
      <c r="D237" s="101"/>
      <c r="E237" s="99"/>
      <c r="F237" s="100"/>
      <c r="G237" s="101"/>
      <c r="H237" s="99"/>
      <c r="I237" s="100"/>
      <c r="J237" s="105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23.25" hidden="1" customHeight="1" outlineLevel="1">
      <c r="A238" s="95"/>
      <c r="B238" s="107"/>
      <c r="C238" s="100"/>
      <c r="D238" s="101"/>
      <c r="E238" s="99"/>
      <c r="F238" s="100"/>
      <c r="G238" s="101"/>
      <c r="H238" s="99"/>
      <c r="I238" s="100"/>
      <c r="J238" s="105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23.25" hidden="1" customHeight="1" outlineLevel="1">
      <c r="A239" s="95"/>
      <c r="B239" s="107"/>
      <c r="C239" s="100"/>
      <c r="D239" s="101"/>
      <c r="E239" s="99"/>
      <c r="F239" s="100"/>
      <c r="G239" s="101"/>
      <c r="H239" s="99"/>
      <c r="I239" s="100"/>
      <c r="J239" s="105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23.25" hidden="1" customHeight="1" outlineLevel="1">
      <c r="A240" s="95"/>
      <c r="B240" s="107"/>
      <c r="C240" s="100"/>
      <c r="D240" s="101"/>
      <c r="E240" s="99"/>
      <c r="F240" s="100"/>
      <c r="G240" s="101"/>
      <c r="H240" s="99"/>
      <c r="I240" s="100"/>
      <c r="J240" s="105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23.25" hidden="1" customHeight="1" outlineLevel="1">
      <c r="A241" s="95"/>
      <c r="B241" s="107"/>
      <c r="C241" s="100"/>
      <c r="D241" s="101"/>
      <c r="E241" s="99"/>
      <c r="F241" s="100"/>
      <c r="G241" s="101"/>
      <c r="H241" s="99"/>
      <c r="I241" s="100"/>
      <c r="J241" s="105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23.25" hidden="1" customHeight="1" outlineLevel="1">
      <c r="A242" s="95"/>
      <c r="B242" s="107"/>
      <c r="C242" s="100"/>
      <c r="D242" s="101"/>
      <c r="E242" s="99"/>
      <c r="F242" s="100"/>
      <c r="G242" s="101"/>
      <c r="H242" s="99"/>
      <c r="I242" s="100"/>
      <c r="J242" s="105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23.25" hidden="1" customHeight="1" outlineLevel="1">
      <c r="A243" s="95"/>
      <c r="B243" s="107"/>
      <c r="C243" s="100"/>
      <c r="D243" s="101"/>
      <c r="E243" s="99"/>
      <c r="F243" s="100"/>
      <c r="G243" s="101"/>
      <c r="H243" s="99"/>
      <c r="I243" s="100"/>
      <c r="J243" s="105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23.25" hidden="1" customHeight="1" outlineLevel="1">
      <c r="A244" s="95"/>
      <c r="B244" s="107"/>
      <c r="C244" s="100"/>
      <c r="D244" s="101"/>
      <c r="E244" s="99"/>
      <c r="F244" s="100"/>
      <c r="G244" s="101"/>
      <c r="H244" s="99"/>
      <c r="I244" s="100"/>
      <c r="J244" s="105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23.25" hidden="1" customHeight="1" outlineLevel="1">
      <c r="A245" s="95"/>
      <c r="B245" s="107"/>
      <c r="C245" s="100"/>
      <c r="D245" s="101"/>
      <c r="E245" s="99"/>
      <c r="F245" s="100"/>
      <c r="G245" s="101"/>
      <c r="H245" s="99"/>
      <c r="I245" s="100"/>
      <c r="J245" s="105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23.25" hidden="1" customHeight="1" outlineLevel="1">
      <c r="A246" s="95"/>
      <c r="B246" s="107"/>
      <c r="C246" s="100"/>
      <c r="D246" s="101"/>
      <c r="E246" s="99"/>
      <c r="F246" s="100"/>
      <c r="G246" s="101"/>
      <c r="H246" s="99"/>
      <c r="I246" s="100"/>
      <c r="J246" s="105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23.25" hidden="1" customHeight="1" outlineLevel="1">
      <c r="A247" s="95"/>
      <c r="B247" s="107"/>
      <c r="C247" s="100"/>
      <c r="D247" s="101"/>
      <c r="E247" s="99"/>
      <c r="F247" s="100"/>
      <c r="G247" s="101"/>
      <c r="H247" s="99"/>
      <c r="I247" s="100"/>
      <c r="J247" s="105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23.25" hidden="1" customHeight="1" outlineLevel="1">
      <c r="A248" s="95"/>
      <c r="B248" s="107"/>
      <c r="C248" s="100"/>
      <c r="D248" s="101"/>
      <c r="E248" s="99"/>
      <c r="F248" s="100"/>
      <c r="G248" s="101"/>
      <c r="H248" s="99"/>
      <c r="I248" s="100"/>
      <c r="J248" s="105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23.25" hidden="1" customHeight="1" outlineLevel="1">
      <c r="A249" s="95"/>
      <c r="B249" s="107"/>
      <c r="C249" s="100"/>
      <c r="D249" s="101"/>
      <c r="E249" s="99"/>
      <c r="F249" s="100"/>
      <c r="G249" s="101"/>
      <c r="H249" s="99"/>
      <c r="I249" s="100"/>
      <c r="J249" s="105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23.25" hidden="1" customHeight="1" outlineLevel="1">
      <c r="A250" s="95"/>
      <c r="B250" s="107"/>
      <c r="C250" s="100"/>
      <c r="D250" s="101"/>
      <c r="E250" s="99"/>
      <c r="F250" s="100"/>
      <c r="G250" s="101"/>
      <c r="H250" s="99"/>
      <c r="I250" s="100"/>
      <c r="J250" s="105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23.25" hidden="1" customHeight="1" outlineLevel="1">
      <c r="A251" s="95"/>
      <c r="B251" s="107"/>
      <c r="C251" s="100"/>
      <c r="D251" s="101"/>
      <c r="E251" s="99"/>
      <c r="F251" s="100"/>
      <c r="G251" s="101"/>
      <c r="H251" s="99"/>
      <c r="I251" s="100"/>
      <c r="J251" s="105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23.25" hidden="1" customHeight="1" outlineLevel="1">
      <c r="A252" s="95"/>
      <c r="B252" s="107"/>
      <c r="C252" s="100"/>
      <c r="D252" s="101"/>
      <c r="E252" s="99"/>
      <c r="F252" s="100"/>
      <c r="G252" s="101"/>
      <c r="H252" s="99"/>
      <c r="I252" s="100"/>
      <c r="J252" s="105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23.25" hidden="1" customHeight="1" outlineLevel="1">
      <c r="A253" s="95"/>
      <c r="B253" s="107"/>
      <c r="C253" s="100"/>
      <c r="D253" s="101"/>
      <c r="E253" s="99"/>
      <c r="F253" s="100"/>
      <c r="G253" s="101"/>
      <c r="H253" s="99"/>
      <c r="I253" s="100"/>
      <c r="J253" s="105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23.25" hidden="1" customHeight="1" outlineLevel="1">
      <c r="A254" s="95"/>
      <c r="B254" s="107"/>
      <c r="C254" s="100"/>
      <c r="D254" s="101"/>
      <c r="E254" s="99"/>
      <c r="F254" s="100"/>
      <c r="G254" s="101"/>
      <c r="H254" s="99"/>
      <c r="I254" s="100"/>
      <c r="J254" s="105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23.25" hidden="1" customHeight="1" outlineLevel="1">
      <c r="A255" s="95"/>
      <c r="B255" s="107"/>
      <c r="C255" s="100"/>
      <c r="D255" s="101"/>
      <c r="E255" s="99"/>
      <c r="F255" s="100"/>
      <c r="G255" s="101"/>
      <c r="H255" s="99"/>
      <c r="I255" s="100"/>
      <c r="J255" s="105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23.25" hidden="1" customHeight="1" outlineLevel="1">
      <c r="A256" s="95"/>
      <c r="B256" s="107"/>
      <c r="C256" s="100"/>
      <c r="D256" s="101"/>
      <c r="E256" s="99"/>
      <c r="F256" s="100"/>
      <c r="G256" s="101"/>
      <c r="H256" s="99"/>
      <c r="I256" s="100"/>
      <c r="J256" s="105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23.25" hidden="1" customHeight="1" outlineLevel="1">
      <c r="A257" s="95"/>
      <c r="B257" s="107"/>
      <c r="C257" s="100"/>
      <c r="D257" s="101"/>
      <c r="E257" s="99"/>
      <c r="F257" s="100"/>
      <c r="G257" s="101"/>
      <c r="H257" s="99"/>
      <c r="I257" s="100"/>
      <c r="J257" s="105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23.25" hidden="1" customHeight="1" outlineLevel="1">
      <c r="A258" s="95"/>
      <c r="B258" s="107"/>
      <c r="C258" s="100"/>
      <c r="D258" s="101"/>
      <c r="E258" s="99"/>
      <c r="F258" s="100"/>
      <c r="G258" s="101"/>
      <c r="H258" s="99"/>
      <c r="I258" s="100"/>
      <c r="J258" s="105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23.25" hidden="1" customHeight="1" outlineLevel="1">
      <c r="A259" s="95"/>
      <c r="B259" s="107"/>
      <c r="C259" s="100"/>
      <c r="D259" s="101"/>
      <c r="E259" s="99"/>
      <c r="F259" s="100"/>
      <c r="G259" s="101"/>
      <c r="H259" s="99"/>
      <c r="I259" s="100"/>
      <c r="J259" s="105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23.25" hidden="1" customHeight="1" outlineLevel="1">
      <c r="A260" s="95"/>
      <c r="B260" s="107"/>
      <c r="C260" s="100"/>
      <c r="D260" s="101"/>
      <c r="E260" s="99"/>
      <c r="F260" s="100"/>
      <c r="G260" s="101"/>
      <c r="H260" s="99"/>
      <c r="I260" s="100"/>
      <c r="J260" s="105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23.25" hidden="1" customHeight="1" outlineLevel="1">
      <c r="A261" s="95"/>
      <c r="B261" s="107"/>
      <c r="C261" s="100"/>
      <c r="D261" s="101"/>
      <c r="E261" s="99"/>
      <c r="F261" s="100"/>
      <c r="G261" s="101"/>
      <c r="H261" s="99"/>
      <c r="I261" s="100"/>
      <c r="J261" s="105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23.25" hidden="1" customHeight="1" outlineLevel="1">
      <c r="A262" s="95"/>
      <c r="B262" s="107"/>
      <c r="C262" s="100"/>
      <c r="D262" s="101"/>
      <c r="E262" s="99"/>
      <c r="F262" s="100"/>
      <c r="G262" s="101"/>
      <c r="H262" s="99"/>
      <c r="I262" s="100"/>
      <c r="J262" s="105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23.25" hidden="1" customHeight="1" outlineLevel="1">
      <c r="A263" s="95"/>
      <c r="B263" s="107"/>
      <c r="C263" s="100"/>
      <c r="D263" s="101"/>
      <c r="E263" s="99"/>
      <c r="F263" s="100"/>
      <c r="G263" s="101"/>
      <c r="H263" s="99"/>
      <c r="I263" s="100"/>
      <c r="J263" s="105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23.25" hidden="1" customHeight="1" outlineLevel="1">
      <c r="A264" s="95"/>
      <c r="B264" s="107"/>
      <c r="C264" s="100"/>
      <c r="D264" s="101"/>
      <c r="E264" s="99"/>
      <c r="F264" s="100"/>
      <c r="G264" s="101"/>
      <c r="H264" s="99"/>
      <c r="I264" s="100"/>
      <c r="J264" s="105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23.25" hidden="1" customHeight="1" outlineLevel="1">
      <c r="A265" s="95"/>
      <c r="B265" s="107"/>
      <c r="C265" s="100"/>
      <c r="D265" s="101"/>
      <c r="E265" s="99"/>
      <c r="F265" s="100"/>
      <c r="G265" s="101"/>
      <c r="H265" s="99"/>
      <c r="I265" s="100"/>
      <c r="J265" s="105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23.25" hidden="1" customHeight="1" outlineLevel="1">
      <c r="A266" s="95"/>
      <c r="B266" s="107"/>
      <c r="C266" s="100"/>
      <c r="D266" s="101"/>
      <c r="E266" s="99"/>
      <c r="F266" s="100"/>
      <c r="G266" s="101"/>
      <c r="H266" s="99"/>
      <c r="I266" s="100"/>
      <c r="J266" s="105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23.25" hidden="1" customHeight="1" outlineLevel="1">
      <c r="A267" s="95"/>
      <c r="B267" s="107"/>
      <c r="C267" s="100"/>
      <c r="D267" s="101"/>
      <c r="E267" s="99"/>
      <c r="F267" s="100"/>
      <c r="G267" s="101"/>
      <c r="H267" s="99"/>
      <c r="I267" s="100"/>
      <c r="J267" s="105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23.25" hidden="1" customHeight="1" outlineLevel="1">
      <c r="A268" s="95"/>
      <c r="B268" s="107"/>
      <c r="C268" s="100"/>
      <c r="D268" s="101"/>
      <c r="E268" s="99"/>
      <c r="F268" s="100"/>
      <c r="G268" s="101"/>
      <c r="H268" s="99"/>
      <c r="I268" s="100"/>
      <c r="J268" s="105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23.25" hidden="1" customHeight="1" outlineLevel="1">
      <c r="A269" s="95"/>
      <c r="B269" s="107"/>
      <c r="C269" s="100"/>
      <c r="D269" s="101"/>
      <c r="E269" s="99"/>
      <c r="F269" s="100"/>
      <c r="G269" s="101"/>
      <c r="H269" s="99"/>
      <c r="I269" s="100"/>
      <c r="J269" s="105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23.25" hidden="1" customHeight="1" outlineLevel="1">
      <c r="A270" s="95"/>
      <c r="B270" s="107"/>
      <c r="C270" s="100"/>
      <c r="D270" s="101"/>
      <c r="E270" s="99"/>
      <c r="F270" s="100"/>
      <c r="G270" s="101"/>
      <c r="H270" s="99"/>
      <c r="I270" s="100"/>
      <c r="J270" s="105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23.25" hidden="1" customHeight="1" outlineLevel="1">
      <c r="A271" s="132"/>
      <c r="B271" s="134"/>
      <c r="C271" s="136"/>
      <c r="D271" s="137"/>
      <c r="E271" s="139"/>
      <c r="F271" s="136"/>
      <c r="G271" s="137"/>
      <c r="H271" s="139"/>
      <c r="I271" s="136"/>
      <c r="J271" s="14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23.25" customHeight="1" collapsed="1">
      <c r="A272" s="143"/>
      <c r="B272" s="146" t="s">
        <v>57</v>
      </c>
      <c r="C272" s="148"/>
      <c r="D272" s="149">
        <f>SUM(D228:D271)</f>
        <v>304.53</v>
      </c>
      <c r="E272" s="146" t="s">
        <v>57</v>
      </c>
      <c r="F272" s="148"/>
      <c r="G272" s="149">
        <f>SUM(G228:G271)</f>
        <v>0</v>
      </c>
      <c r="H272" s="146" t="s">
        <v>57</v>
      </c>
      <c r="I272" s="148"/>
      <c r="J272" s="149">
        <f>SUM(J228:J271)</f>
        <v>60.97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23.25" customHeight="1">
      <c r="B273" s="156"/>
      <c r="C273" s="153"/>
      <c r="D273" s="153"/>
      <c r="E273" s="154">
        <f>SUM(D272,G272,J272)</f>
        <v>365.5</v>
      </c>
      <c r="F273" s="122"/>
      <c r="G273" s="123"/>
      <c r="H273" s="156"/>
      <c r="I273" s="153"/>
      <c r="J273" s="153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23.25" customHeight="1">
      <c r="A274" s="157"/>
      <c r="B274" s="83" t="s">
        <v>91</v>
      </c>
      <c r="C274" s="85"/>
      <c r="D274" s="86"/>
      <c r="E274" s="83" t="s">
        <v>91</v>
      </c>
      <c r="F274" s="85"/>
      <c r="G274" s="86"/>
      <c r="H274" s="83" t="s">
        <v>91</v>
      </c>
      <c r="I274" s="85"/>
      <c r="J274" s="86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23.25" hidden="1" customHeight="1" outlineLevel="1">
      <c r="A275" s="89"/>
      <c r="B275" s="90">
        <v>46227.0</v>
      </c>
      <c r="C275" s="91" t="s">
        <v>69</v>
      </c>
      <c r="D275" s="92">
        <v>148.21</v>
      </c>
      <c r="E275" s="159"/>
      <c r="F275" s="160"/>
      <c r="G275" s="161"/>
      <c r="H275" s="93">
        <v>46230.0</v>
      </c>
      <c r="I275" s="91">
        <v>2.8201104000183E13</v>
      </c>
      <c r="J275" s="94">
        <v>70.0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23.25" hidden="1" customHeight="1" outlineLevel="1">
      <c r="A276" s="95"/>
      <c r="B276" s="96">
        <v>46228.0</v>
      </c>
      <c r="C276" s="97" t="s">
        <v>92</v>
      </c>
      <c r="D276" s="98">
        <v>97.72</v>
      </c>
      <c r="E276" s="99"/>
      <c r="F276" s="100"/>
      <c r="G276" s="101"/>
      <c r="H276" s="99"/>
      <c r="I276" s="100"/>
      <c r="J276" s="105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23.25" hidden="1" customHeight="1" outlineLevel="1">
      <c r="A277" s="95"/>
      <c r="B277" s="96">
        <v>46232.0</v>
      </c>
      <c r="C277" s="97" t="s">
        <v>93</v>
      </c>
      <c r="D277" s="98">
        <v>193.3</v>
      </c>
      <c r="E277" s="99"/>
      <c r="F277" s="100"/>
      <c r="G277" s="101"/>
      <c r="H277" s="99"/>
      <c r="I277" s="100"/>
      <c r="J277" s="105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23.25" hidden="1" customHeight="1" outlineLevel="1">
      <c r="A278" s="95"/>
      <c r="B278" s="96">
        <v>46232.0</v>
      </c>
      <c r="C278" s="97" t="s">
        <v>94</v>
      </c>
      <c r="D278" s="98">
        <v>208.24</v>
      </c>
      <c r="E278" s="99"/>
      <c r="F278" s="100"/>
      <c r="G278" s="101"/>
      <c r="H278" s="99"/>
      <c r="I278" s="100"/>
      <c r="J278" s="105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23.25" hidden="1" customHeight="1" outlineLevel="1">
      <c r="A279" s="95"/>
      <c r="B279" s="107"/>
      <c r="C279" s="100"/>
      <c r="D279" s="101"/>
      <c r="E279" s="99"/>
      <c r="F279" s="100"/>
      <c r="G279" s="101"/>
      <c r="H279" s="99"/>
      <c r="I279" s="100"/>
      <c r="J279" s="105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23.25" hidden="1" customHeight="1" outlineLevel="1">
      <c r="A280" s="95"/>
      <c r="B280" s="107"/>
      <c r="C280" s="100"/>
      <c r="D280" s="101"/>
      <c r="E280" s="99"/>
      <c r="F280" s="100"/>
      <c r="G280" s="101"/>
      <c r="H280" s="99"/>
      <c r="I280" s="100"/>
      <c r="J280" s="105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23.25" hidden="1" customHeight="1" outlineLevel="1">
      <c r="A281" s="95"/>
      <c r="B281" s="107"/>
      <c r="C281" s="100"/>
      <c r="D281" s="101"/>
      <c r="E281" s="99"/>
      <c r="F281" s="100"/>
      <c r="G281" s="101"/>
      <c r="H281" s="99"/>
      <c r="I281" s="100"/>
      <c r="J281" s="105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23.25" hidden="1" customHeight="1" outlineLevel="1">
      <c r="A282" s="95"/>
      <c r="B282" s="107"/>
      <c r="C282" s="100"/>
      <c r="D282" s="101"/>
      <c r="E282" s="99"/>
      <c r="F282" s="100"/>
      <c r="G282" s="101"/>
      <c r="H282" s="99"/>
      <c r="I282" s="100"/>
      <c r="J282" s="105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23.25" hidden="1" customHeight="1" outlineLevel="1">
      <c r="A283" s="95"/>
      <c r="B283" s="107"/>
      <c r="C283" s="100"/>
      <c r="D283" s="101"/>
      <c r="E283" s="99"/>
      <c r="F283" s="100"/>
      <c r="G283" s="101"/>
      <c r="H283" s="99"/>
      <c r="I283" s="100"/>
      <c r="J283" s="105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23.25" hidden="1" customHeight="1" outlineLevel="1">
      <c r="A284" s="95"/>
      <c r="B284" s="107"/>
      <c r="C284" s="109"/>
      <c r="D284" s="101"/>
      <c r="E284" s="99"/>
      <c r="F284" s="100"/>
      <c r="G284" s="101"/>
      <c r="H284" s="99"/>
      <c r="I284" s="100"/>
      <c r="J284" s="105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23.25" hidden="1" customHeight="1" outlineLevel="1">
      <c r="A285" s="95"/>
      <c r="B285" s="107"/>
      <c r="C285" s="100"/>
      <c r="D285" s="101"/>
      <c r="E285" s="99"/>
      <c r="F285" s="100"/>
      <c r="G285" s="101"/>
      <c r="H285" s="99"/>
      <c r="I285" s="100"/>
      <c r="J285" s="105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23.25" hidden="1" customHeight="1" outlineLevel="1">
      <c r="A286" s="95"/>
      <c r="B286" s="107"/>
      <c r="C286" s="100"/>
      <c r="D286" s="101"/>
      <c r="E286" s="99"/>
      <c r="F286" s="100"/>
      <c r="G286" s="101"/>
      <c r="H286" s="99"/>
      <c r="I286" s="100"/>
      <c r="J286" s="105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23.25" hidden="1" customHeight="1" outlineLevel="1">
      <c r="A287" s="95"/>
      <c r="B287" s="107"/>
      <c r="C287" s="100"/>
      <c r="D287" s="101"/>
      <c r="E287" s="99"/>
      <c r="F287" s="100"/>
      <c r="G287" s="101"/>
      <c r="H287" s="99"/>
      <c r="I287" s="100"/>
      <c r="J287" s="105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23.25" hidden="1" customHeight="1" outlineLevel="1">
      <c r="A288" s="95"/>
      <c r="B288" s="107"/>
      <c r="C288" s="100"/>
      <c r="D288" s="101"/>
      <c r="E288" s="99"/>
      <c r="F288" s="100"/>
      <c r="G288" s="101"/>
      <c r="H288" s="99"/>
      <c r="I288" s="100"/>
      <c r="J288" s="105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23.25" hidden="1" customHeight="1" outlineLevel="1">
      <c r="A289" s="95"/>
      <c r="B289" s="107"/>
      <c r="C289" s="100"/>
      <c r="D289" s="101"/>
      <c r="E289" s="99"/>
      <c r="F289" s="100"/>
      <c r="G289" s="101"/>
      <c r="H289" s="99"/>
      <c r="I289" s="100"/>
      <c r="J289" s="105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23.25" hidden="1" customHeight="1" outlineLevel="1">
      <c r="A290" s="95"/>
      <c r="B290" s="107"/>
      <c r="C290" s="100"/>
      <c r="D290" s="101"/>
      <c r="E290" s="99"/>
      <c r="F290" s="100"/>
      <c r="G290" s="101"/>
      <c r="H290" s="99"/>
      <c r="I290" s="100"/>
      <c r="J290" s="105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23.25" hidden="1" customHeight="1" outlineLevel="1">
      <c r="A291" s="95"/>
      <c r="B291" s="107"/>
      <c r="C291" s="100"/>
      <c r="D291" s="101"/>
      <c r="E291" s="99"/>
      <c r="F291" s="100"/>
      <c r="G291" s="101"/>
      <c r="H291" s="99"/>
      <c r="I291" s="100"/>
      <c r="J291" s="105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23.25" hidden="1" customHeight="1" outlineLevel="1">
      <c r="A292" s="95"/>
      <c r="B292" s="107"/>
      <c r="C292" s="100"/>
      <c r="D292" s="101"/>
      <c r="E292" s="99"/>
      <c r="F292" s="100"/>
      <c r="G292" s="101"/>
      <c r="H292" s="99"/>
      <c r="I292" s="100"/>
      <c r="J292" s="105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23.25" hidden="1" customHeight="1" outlineLevel="1">
      <c r="A293" s="95"/>
      <c r="B293" s="107"/>
      <c r="C293" s="100"/>
      <c r="D293" s="101"/>
      <c r="E293" s="99"/>
      <c r="F293" s="100"/>
      <c r="G293" s="101"/>
      <c r="H293" s="99"/>
      <c r="I293" s="100"/>
      <c r="J293" s="105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23.25" hidden="1" customHeight="1" outlineLevel="1">
      <c r="A294" s="95"/>
      <c r="B294" s="107"/>
      <c r="C294" s="100"/>
      <c r="D294" s="101"/>
      <c r="E294" s="99"/>
      <c r="F294" s="100"/>
      <c r="G294" s="101"/>
      <c r="H294" s="99"/>
      <c r="I294" s="100"/>
      <c r="J294" s="105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23.25" hidden="1" customHeight="1" outlineLevel="1">
      <c r="A295" s="95"/>
      <c r="B295" s="107"/>
      <c r="C295" s="100"/>
      <c r="D295" s="101"/>
      <c r="E295" s="99"/>
      <c r="F295" s="100"/>
      <c r="G295" s="101"/>
      <c r="H295" s="99"/>
      <c r="I295" s="100"/>
      <c r="J295" s="105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23.25" hidden="1" customHeight="1" outlineLevel="1">
      <c r="A296" s="95"/>
      <c r="B296" s="107"/>
      <c r="C296" s="100"/>
      <c r="D296" s="101"/>
      <c r="E296" s="99"/>
      <c r="F296" s="100"/>
      <c r="G296" s="101"/>
      <c r="H296" s="99"/>
      <c r="I296" s="100"/>
      <c r="J296" s="105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23.25" hidden="1" customHeight="1" outlineLevel="1">
      <c r="A297" s="95"/>
      <c r="B297" s="107"/>
      <c r="C297" s="100"/>
      <c r="D297" s="101"/>
      <c r="E297" s="99"/>
      <c r="F297" s="100"/>
      <c r="G297" s="101"/>
      <c r="H297" s="99"/>
      <c r="I297" s="100"/>
      <c r="J297" s="105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23.25" hidden="1" customHeight="1" outlineLevel="1">
      <c r="A298" s="95"/>
      <c r="B298" s="107"/>
      <c r="C298" s="100"/>
      <c r="D298" s="101"/>
      <c r="E298" s="99"/>
      <c r="F298" s="100"/>
      <c r="G298" s="101"/>
      <c r="H298" s="99"/>
      <c r="I298" s="100"/>
      <c r="J298" s="105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23.25" hidden="1" customHeight="1" outlineLevel="1">
      <c r="A299" s="95"/>
      <c r="B299" s="107"/>
      <c r="C299" s="100"/>
      <c r="D299" s="101"/>
      <c r="E299" s="99"/>
      <c r="F299" s="100"/>
      <c r="G299" s="101"/>
      <c r="H299" s="99"/>
      <c r="I299" s="100"/>
      <c r="J299" s="105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23.25" hidden="1" customHeight="1" outlineLevel="1">
      <c r="A300" s="95"/>
      <c r="B300" s="107"/>
      <c r="C300" s="100"/>
      <c r="D300" s="101"/>
      <c r="E300" s="99"/>
      <c r="F300" s="100"/>
      <c r="G300" s="101"/>
      <c r="H300" s="99"/>
      <c r="I300" s="100"/>
      <c r="J300" s="105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23.25" hidden="1" customHeight="1" outlineLevel="1">
      <c r="A301" s="95"/>
      <c r="B301" s="107"/>
      <c r="C301" s="100"/>
      <c r="D301" s="101"/>
      <c r="E301" s="99"/>
      <c r="F301" s="100"/>
      <c r="G301" s="101"/>
      <c r="H301" s="99"/>
      <c r="I301" s="100"/>
      <c r="J301" s="105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23.25" hidden="1" customHeight="1" outlineLevel="1">
      <c r="A302" s="95"/>
      <c r="B302" s="107"/>
      <c r="C302" s="100"/>
      <c r="D302" s="101"/>
      <c r="E302" s="99"/>
      <c r="F302" s="100"/>
      <c r="G302" s="101"/>
      <c r="H302" s="99"/>
      <c r="I302" s="100"/>
      <c r="J302" s="105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23.25" hidden="1" customHeight="1" outlineLevel="1">
      <c r="A303" s="95"/>
      <c r="B303" s="107"/>
      <c r="C303" s="100"/>
      <c r="D303" s="101"/>
      <c r="E303" s="99"/>
      <c r="F303" s="100"/>
      <c r="G303" s="101"/>
      <c r="H303" s="99"/>
      <c r="I303" s="100"/>
      <c r="J303" s="105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23.25" hidden="1" customHeight="1" outlineLevel="1">
      <c r="A304" s="95"/>
      <c r="B304" s="107"/>
      <c r="C304" s="100"/>
      <c r="D304" s="101"/>
      <c r="E304" s="99"/>
      <c r="F304" s="100"/>
      <c r="G304" s="101"/>
      <c r="H304" s="99"/>
      <c r="I304" s="100"/>
      <c r="J304" s="105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23.25" hidden="1" customHeight="1" outlineLevel="1">
      <c r="A305" s="95"/>
      <c r="B305" s="107"/>
      <c r="C305" s="100"/>
      <c r="D305" s="101"/>
      <c r="E305" s="99"/>
      <c r="F305" s="100"/>
      <c r="G305" s="101"/>
      <c r="H305" s="99"/>
      <c r="I305" s="100"/>
      <c r="J305" s="105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23.25" hidden="1" customHeight="1" outlineLevel="1">
      <c r="A306" s="95"/>
      <c r="B306" s="107"/>
      <c r="C306" s="100"/>
      <c r="D306" s="101"/>
      <c r="E306" s="99"/>
      <c r="F306" s="100"/>
      <c r="G306" s="101"/>
      <c r="H306" s="99"/>
      <c r="I306" s="100"/>
      <c r="J306" s="105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23.25" hidden="1" customHeight="1" outlineLevel="1">
      <c r="A307" s="95"/>
      <c r="B307" s="107"/>
      <c r="C307" s="100"/>
      <c r="D307" s="101"/>
      <c r="E307" s="99"/>
      <c r="F307" s="100"/>
      <c r="G307" s="101"/>
      <c r="H307" s="99"/>
      <c r="I307" s="100"/>
      <c r="J307" s="105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23.25" hidden="1" customHeight="1" outlineLevel="1">
      <c r="A308" s="95"/>
      <c r="B308" s="107"/>
      <c r="C308" s="100"/>
      <c r="D308" s="101"/>
      <c r="E308" s="99"/>
      <c r="F308" s="100"/>
      <c r="G308" s="101"/>
      <c r="H308" s="99"/>
      <c r="I308" s="100"/>
      <c r="J308" s="105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23.25" hidden="1" customHeight="1" outlineLevel="1">
      <c r="A309" s="95"/>
      <c r="B309" s="107"/>
      <c r="C309" s="100"/>
      <c r="D309" s="101"/>
      <c r="E309" s="99"/>
      <c r="F309" s="100"/>
      <c r="G309" s="101"/>
      <c r="H309" s="99"/>
      <c r="I309" s="100"/>
      <c r="J309" s="105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23.25" hidden="1" customHeight="1" outlineLevel="1">
      <c r="A310" s="95"/>
      <c r="B310" s="107"/>
      <c r="C310" s="100"/>
      <c r="D310" s="101"/>
      <c r="E310" s="99"/>
      <c r="F310" s="100"/>
      <c r="G310" s="101"/>
      <c r="H310" s="99"/>
      <c r="I310" s="100"/>
      <c r="J310" s="105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23.25" hidden="1" customHeight="1" outlineLevel="1">
      <c r="A311" s="95"/>
      <c r="B311" s="107"/>
      <c r="C311" s="100"/>
      <c r="D311" s="101"/>
      <c r="E311" s="99"/>
      <c r="F311" s="100"/>
      <c r="G311" s="101"/>
      <c r="H311" s="99"/>
      <c r="I311" s="100"/>
      <c r="J311" s="105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23.25" hidden="1" customHeight="1" outlineLevel="1">
      <c r="A312" s="95"/>
      <c r="B312" s="107"/>
      <c r="C312" s="100"/>
      <c r="D312" s="101"/>
      <c r="E312" s="99"/>
      <c r="F312" s="100"/>
      <c r="G312" s="101"/>
      <c r="H312" s="99"/>
      <c r="I312" s="100"/>
      <c r="J312" s="105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23.25" hidden="1" customHeight="1" outlineLevel="1">
      <c r="A313" s="95"/>
      <c r="B313" s="107"/>
      <c r="C313" s="100"/>
      <c r="D313" s="101"/>
      <c r="E313" s="99"/>
      <c r="F313" s="100"/>
      <c r="G313" s="101"/>
      <c r="H313" s="99"/>
      <c r="I313" s="100"/>
      <c r="J313" s="105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23.25" hidden="1" customHeight="1" outlineLevel="1">
      <c r="A314" s="95"/>
      <c r="B314" s="107"/>
      <c r="C314" s="100"/>
      <c r="D314" s="101"/>
      <c r="E314" s="99"/>
      <c r="F314" s="100"/>
      <c r="G314" s="101"/>
      <c r="H314" s="99"/>
      <c r="I314" s="100"/>
      <c r="J314" s="105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23.25" hidden="1" customHeight="1" outlineLevel="1">
      <c r="A315" s="95"/>
      <c r="B315" s="107"/>
      <c r="C315" s="100"/>
      <c r="D315" s="101"/>
      <c r="E315" s="99"/>
      <c r="F315" s="100"/>
      <c r="G315" s="101"/>
      <c r="H315" s="99"/>
      <c r="I315" s="100"/>
      <c r="J315" s="105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23.25" hidden="1" customHeight="1" outlineLevel="1">
      <c r="A316" s="95"/>
      <c r="B316" s="107"/>
      <c r="C316" s="100"/>
      <c r="D316" s="101"/>
      <c r="E316" s="99"/>
      <c r="F316" s="100"/>
      <c r="G316" s="101"/>
      <c r="H316" s="99"/>
      <c r="I316" s="100"/>
      <c r="J316" s="105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23.25" hidden="1" customHeight="1" outlineLevel="1">
      <c r="A317" s="95"/>
      <c r="B317" s="107"/>
      <c r="C317" s="100"/>
      <c r="D317" s="101"/>
      <c r="E317" s="99"/>
      <c r="F317" s="100"/>
      <c r="G317" s="101"/>
      <c r="H317" s="99"/>
      <c r="I317" s="100"/>
      <c r="J317" s="105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23.25" hidden="1" customHeight="1" outlineLevel="1">
      <c r="A318" s="132"/>
      <c r="B318" s="134"/>
      <c r="C318" s="136"/>
      <c r="D318" s="137"/>
      <c r="E318" s="139"/>
      <c r="F318" s="136"/>
      <c r="G318" s="137"/>
      <c r="H318" s="139"/>
      <c r="I318" s="136"/>
      <c r="J318" s="14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23.25" customHeight="1" collapsed="1">
      <c r="A319" s="143"/>
      <c r="B319" s="146" t="s">
        <v>57</v>
      </c>
      <c r="C319" s="148"/>
      <c r="D319" s="149">
        <f>SUM(D275:D318)</f>
        <v>647.47</v>
      </c>
      <c r="E319" s="146" t="s">
        <v>57</v>
      </c>
      <c r="F319" s="148"/>
      <c r="G319" s="149">
        <f>SUM(G275:G318)</f>
        <v>0</v>
      </c>
      <c r="H319" s="146" t="s">
        <v>57</v>
      </c>
      <c r="I319" s="148"/>
      <c r="J319" s="149">
        <f>SUM(J275:J318)</f>
        <v>70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23.25" customHeight="1">
      <c r="B320" s="156"/>
      <c r="C320" s="153"/>
      <c r="D320" s="153"/>
      <c r="E320" s="154">
        <f>SUM(D319,G319,J319)</f>
        <v>717.47</v>
      </c>
      <c r="F320" s="122"/>
      <c r="G320" s="123"/>
      <c r="H320" s="156"/>
      <c r="I320" s="153"/>
      <c r="J320" s="153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23.25" customHeight="1">
      <c r="A321" s="157"/>
      <c r="B321" s="83" t="s">
        <v>95</v>
      </c>
      <c r="C321" s="85"/>
      <c r="D321" s="86"/>
      <c r="E321" s="83" t="s">
        <v>95</v>
      </c>
      <c r="F321" s="85"/>
      <c r="G321" s="86"/>
      <c r="H321" s="83" t="s">
        <v>95</v>
      </c>
      <c r="I321" s="85"/>
      <c r="J321" s="86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23.25" hidden="1" customHeight="1" outlineLevel="1">
      <c r="A322" s="89"/>
      <c r="B322" s="90">
        <v>46236.0</v>
      </c>
      <c r="C322" s="91" t="s">
        <v>93</v>
      </c>
      <c r="D322" s="92">
        <v>196.62</v>
      </c>
      <c r="E322" s="159"/>
      <c r="F322" s="160"/>
      <c r="G322" s="161"/>
      <c r="H322" s="93">
        <v>46247.0</v>
      </c>
      <c r="I322" s="91" t="s">
        <v>96</v>
      </c>
      <c r="J322" s="94">
        <v>260.0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23.25" hidden="1" customHeight="1" outlineLevel="1">
      <c r="A323" s="95"/>
      <c r="B323" s="96">
        <v>46238.0</v>
      </c>
      <c r="C323" s="91" t="s">
        <v>93</v>
      </c>
      <c r="D323" s="98">
        <v>209.94</v>
      </c>
      <c r="E323" s="99"/>
      <c r="F323" s="100"/>
      <c r="G323" s="101"/>
      <c r="H323" s="102">
        <v>46255.0</v>
      </c>
      <c r="I323" s="97" t="s">
        <v>97</v>
      </c>
      <c r="J323" s="103">
        <v>50.0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23.25" hidden="1" customHeight="1" outlineLevel="1">
      <c r="A324" s="95"/>
      <c r="B324" s="96">
        <v>46240.0</v>
      </c>
      <c r="C324" s="97" t="s">
        <v>93</v>
      </c>
      <c r="D324" s="98">
        <v>245.39</v>
      </c>
      <c r="E324" s="99"/>
      <c r="F324" s="100"/>
      <c r="G324" s="101"/>
      <c r="H324" s="102">
        <v>46255.0</v>
      </c>
      <c r="I324" s="97" t="s">
        <v>97</v>
      </c>
      <c r="J324" s="103">
        <v>110.0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23.25" hidden="1" customHeight="1" outlineLevel="1">
      <c r="A325" s="95"/>
      <c r="B325" s="96">
        <v>46241.0</v>
      </c>
      <c r="C325" s="97" t="s">
        <v>93</v>
      </c>
      <c r="D325" s="98">
        <v>210.49</v>
      </c>
      <c r="E325" s="99"/>
      <c r="F325" s="100"/>
      <c r="G325" s="101"/>
      <c r="H325" s="96">
        <v>46252.0</v>
      </c>
      <c r="I325" s="97" t="s">
        <v>98</v>
      </c>
      <c r="J325" s="98">
        <v>700.49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23.25" hidden="1" customHeight="1" outlineLevel="1">
      <c r="A326" s="95"/>
      <c r="B326" s="96">
        <v>46242.0</v>
      </c>
      <c r="C326" s="97" t="s">
        <v>93</v>
      </c>
      <c r="D326" s="98">
        <v>128.67</v>
      </c>
      <c r="E326" s="99"/>
      <c r="F326" s="100"/>
      <c r="G326" s="101"/>
      <c r="H326" s="96">
        <v>46252.0</v>
      </c>
      <c r="I326" s="97" t="s">
        <v>98</v>
      </c>
      <c r="J326" s="98">
        <v>630.0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23.25" hidden="1" customHeight="1" outlineLevel="1">
      <c r="A327" s="95"/>
      <c r="B327" s="96">
        <v>46244.0</v>
      </c>
      <c r="C327" s="97" t="s">
        <v>93</v>
      </c>
      <c r="D327" s="98">
        <v>158.4</v>
      </c>
      <c r="E327" s="99"/>
      <c r="F327" s="100"/>
      <c r="G327" s="101"/>
      <c r="H327" s="102">
        <v>46260.0</v>
      </c>
      <c r="I327" s="97" t="s">
        <v>99</v>
      </c>
      <c r="J327" s="103">
        <v>80.0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23.25" hidden="1" customHeight="1" outlineLevel="1">
      <c r="A328" s="95"/>
      <c r="B328" s="96">
        <v>46245.0</v>
      </c>
      <c r="C328" s="97" t="s">
        <v>93</v>
      </c>
      <c r="D328" s="98">
        <v>207.45</v>
      </c>
      <c r="E328" s="99"/>
      <c r="F328" s="100"/>
      <c r="G328" s="101"/>
      <c r="H328" s="102">
        <v>46265.0</v>
      </c>
      <c r="I328" s="97" t="s">
        <v>100</v>
      </c>
      <c r="J328" s="103">
        <v>35.4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23.25" hidden="1" customHeight="1" outlineLevel="1">
      <c r="A329" s="95"/>
      <c r="B329" s="96">
        <v>46245.0</v>
      </c>
      <c r="C329" s="97" t="s">
        <v>93</v>
      </c>
      <c r="D329" s="98">
        <v>129.49</v>
      </c>
      <c r="E329" s="99"/>
      <c r="F329" s="100"/>
      <c r="G329" s="101"/>
      <c r="H329" s="102">
        <v>46265.0</v>
      </c>
      <c r="I329" s="97" t="s">
        <v>101</v>
      </c>
      <c r="J329" s="103">
        <v>150.0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23.25" hidden="1" customHeight="1" outlineLevel="1">
      <c r="A330" s="95"/>
      <c r="B330" s="96">
        <v>46247.0</v>
      </c>
      <c r="C330" s="97" t="s">
        <v>93</v>
      </c>
      <c r="D330" s="98">
        <v>223.17</v>
      </c>
      <c r="E330" s="99"/>
      <c r="F330" s="100"/>
      <c r="G330" s="101"/>
      <c r="H330" s="102">
        <v>46259.0</v>
      </c>
      <c r="I330" s="97" t="s">
        <v>101</v>
      </c>
      <c r="J330" s="103">
        <v>260.0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23.25" hidden="1" customHeight="1" outlineLevel="1">
      <c r="A331" s="95"/>
      <c r="B331" s="96">
        <v>46248.0</v>
      </c>
      <c r="C331" s="97" t="s">
        <v>93</v>
      </c>
      <c r="D331" s="98">
        <v>143.56</v>
      </c>
      <c r="E331" s="99"/>
      <c r="F331" s="100"/>
      <c r="G331" s="101"/>
      <c r="H331" s="99"/>
      <c r="I331" s="100"/>
      <c r="J331" s="105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23.25" hidden="1" customHeight="1" outlineLevel="1">
      <c r="A332" s="95"/>
      <c r="B332" s="96">
        <v>46249.0</v>
      </c>
      <c r="C332" s="97" t="s">
        <v>93</v>
      </c>
      <c r="D332" s="98">
        <v>218.84</v>
      </c>
      <c r="E332" s="99"/>
      <c r="F332" s="100"/>
      <c r="G332" s="101"/>
      <c r="H332" s="99"/>
      <c r="I332" s="100"/>
      <c r="J332" s="105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23.25" hidden="1" customHeight="1" outlineLevel="1">
      <c r="A333" s="95"/>
      <c r="B333" s="96">
        <v>46250.0</v>
      </c>
      <c r="C333" s="97" t="s">
        <v>93</v>
      </c>
      <c r="D333" s="98">
        <v>112.35</v>
      </c>
      <c r="E333" s="99"/>
      <c r="F333" s="100"/>
      <c r="G333" s="101"/>
      <c r="H333" s="99"/>
      <c r="I333" s="100"/>
      <c r="J333" s="105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23.25" hidden="1" customHeight="1" outlineLevel="1">
      <c r="A334" s="95"/>
      <c r="B334" s="96">
        <v>46251.0</v>
      </c>
      <c r="C334" s="97" t="s">
        <v>102</v>
      </c>
      <c r="D334" s="98">
        <v>148.68</v>
      </c>
      <c r="E334" s="99"/>
      <c r="F334" s="100"/>
      <c r="G334" s="101"/>
      <c r="H334" s="99"/>
      <c r="I334" s="100"/>
      <c r="J334" s="105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23.25" hidden="1" customHeight="1" outlineLevel="1">
      <c r="A335" s="95"/>
      <c r="B335" s="96">
        <v>46252.0</v>
      </c>
      <c r="C335" s="97" t="s">
        <v>103</v>
      </c>
      <c r="D335" s="98">
        <v>219.08</v>
      </c>
      <c r="E335" s="99"/>
      <c r="F335" s="100"/>
      <c r="G335" s="101"/>
      <c r="H335" s="99"/>
      <c r="I335" s="100"/>
      <c r="J335" s="105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23.25" hidden="1" customHeight="1" outlineLevel="1">
      <c r="A336" s="95"/>
      <c r="B336" s="96">
        <v>46253.0</v>
      </c>
      <c r="C336" s="97" t="s">
        <v>103</v>
      </c>
      <c r="D336" s="98">
        <v>226.56</v>
      </c>
      <c r="E336" s="99"/>
      <c r="F336" s="100"/>
      <c r="G336" s="101"/>
      <c r="H336" s="99"/>
      <c r="I336" s="100"/>
      <c r="J336" s="105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23.25" hidden="1" customHeight="1" outlineLevel="1">
      <c r="A337" s="95"/>
      <c r="B337" s="96">
        <v>46255.0</v>
      </c>
      <c r="C337" s="97" t="s">
        <v>103</v>
      </c>
      <c r="D337" s="98">
        <v>129.12</v>
      </c>
      <c r="E337" s="99"/>
      <c r="F337" s="100"/>
      <c r="G337" s="101"/>
      <c r="H337" s="99"/>
      <c r="I337" s="100"/>
      <c r="J337" s="105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23.25" hidden="1" customHeight="1" outlineLevel="1">
      <c r="A338" s="95"/>
      <c r="B338" s="96">
        <v>46256.0</v>
      </c>
      <c r="C338" s="97" t="s">
        <v>103</v>
      </c>
      <c r="D338" s="98">
        <v>221.33</v>
      </c>
      <c r="E338" s="99"/>
      <c r="F338" s="100"/>
      <c r="G338" s="101"/>
      <c r="H338" s="99"/>
      <c r="I338" s="100"/>
      <c r="J338" s="105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23.25" hidden="1" customHeight="1" outlineLevel="1">
      <c r="A339" s="95"/>
      <c r="B339" s="96">
        <v>46258.0</v>
      </c>
      <c r="C339" s="97" t="s">
        <v>94</v>
      </c>
      <c r="D339" s="98">
        <v>243.43</v>
      </c>
      <c r="E339" s="99"/>
      <c r="F339" s="100"/>
      <c r="G339" s="101"/>
      <c r="H339" s="99"/>
      <c r="I339" s="100"/>
      <c r="J339" s="105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23.25" hidden="1" customHeight="1" outlineLevel="1">
      <c r="A340" s="95"/>
      <c r="B340" s="96">
        <v>46256.0</v>
      </c>
      <c r="C340" s="97" t="s">
        <v>103</v>
      </c>
      <c r="D340" s="98">
        <v>117.73</v>
      </c>
      <c r="E340" s="99"/>
      <c r="F340" s="100"/>
      <c r="G340" s="101"/>
      <c r="H340" s="99"/>
      <c r="I340" s="100"/>
      <c r="J340" s="105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23.25" hidden="1" customHeight="1" outlineLevel="1">
      <c r="A341" s="95"/>
      <c r="B341" s="96">
        <v>46261.0</v>
      </c>
      <c r="C341" s="97" t="s">
        <v>93</v>
      </c>
      <c r="D341" s="98">
        <v>195.84</v>
      </c>
      <c r="E341" s="99"/>
      <c r="F341" s="100"/>
      <c r="G341" s="101"/>
      <c r="H341" s="99"/>
      <c r="I341" s="100"/>
      <c r="J341" s="105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23.25" hidden="1" customHeight="1" outlineLevel="1">
      <c r="A342" s="95"/>
      <c r="B342" s="96">
        <v>46261.0</v>
      </c>
      <c r="C342" s="97" t="s">
        <v>93</v>
      </c>
      <c r="D342" s="98">
        <v>96.58</v>
      </c>
      <c r="E342" s="99"/>
      <c r="F342" s="100"/>
      <c r="G342" s="101"/>
      <c r="H342" s="99"/>
      <c r="I342" s="100"/>
      <c r="J342" s="105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23.25" hidden="1" customHeight="1" outlineLevel="1">
      <c r="A343" s="95"/>
      <c r="B343" s="96">
        <v>46262.0</v>
      </c>
      <c r="C343" s="97" t="s">
        <v>93</v>
      </c>
      <c r="D343" s="98">
        <v>200.49</v>
      </c>
      <c r="E343" s="99"/>
      <c r="F343" s="100"/>
      <c r="G343" s="101"/>
      <c r="H343" s="99"/>
      <c r="I343" s="100"/>
      <c r="J343" s="105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23.25" hidden="1" customHeight="1" outlineLevel="1">
      <c r="A344" s="95"/>
      <c r="B344" s="96">
        <v>46263.0</v>
      </c>
      <c r="C344" s="97" t="s">
        <v>93</v>
      </c>
      <c r="D344" s="98">
        <v>86.57</v>
      </c>
      <c r="E344" s="99"/>
      <c r="F344" s="100"/>
      <c r="G344" s="101"/>
      <c r="H344" s="99"/>
      <c r="I344" s="100"/>
      <c r="J344" s="105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23.25" hidden="1" customHeight="1" outlineLevel="1">
      <c r="A345" s="95"/>
      <c r="B345" s="96">
        <v>46265.0</v>
      </c>
      <c r="C345" s="97" t="s">
        <v>93</v>
      </c>
      <c r="D345" s="98">
        <v>200.49</v>
      </c>
      <c r="E345" s="99"/>
      <c r="F345" s="100"/>
      <c r="G345" s="101"/>
      <c r="H345" s="99"/>
      <c r="I345" s="100"/>
      <c r="J345" s="105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23.25" hidden="1" customHeight="1" outlineLevel="1">
      <c r="A346" s="95"/>
      <c r="B346" s="96"/>
      <c r="C346" s="100"/>
      <c r="D346" s="101"/>
      <c r="E346" s="99"/>
      <c r="F346" s="100"/>
      <c r="G346" s="101"/>
      <c r="H346" s="99"/>
      <c r="I346" s="100"/>
      <c r="J346" s="105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23.25" hidden="1" customHeight="1" outlineLevel="1">
      <c r="A347" s="95"/>
      <c r="B347" s="107"/>
      <c r="C347" s="100"/>
      <c r="D347" s="101"/>
      <c r="E347" s="99"/>
      <c r="F347" s="100"/>
      <c r="G347" s="101"/>
      <c r="H347" s="99"/>
      <c r="I347" s="100"/>
      <c r="J347" s="105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23.25" hidden="1" customHeight="1" outlineLevel="1">
      <c r="A348" s="95"/>
      <c r="B348" s="107"/>
      <c r="C348" s="100"/>
      <c r="D348" s="101"/>
      <c r="E348" s="99"/>
      <c r="F348" s="100"/>
      <c r="G348" s="101"/>
      <c r="H348" s="99"/>
      <c r="I348" s="100"/>
      <c r="J348" s="105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23.25" hidden="1" customHeight="1" outlineLevel="1">
      <c r="A349" s="95"/>
      <c r="B349" s="107"/>
      <c r="C349" s="100"/>
      <c r="D349" s="101"/>
      <c r="E349" s="99"/>
      <c r="F349" s="100"/>
      <c r="G349" s="101"/>
      <c r="H349" s="99"/>
      <c r="I349" s="100"/>
      <c r="J349" s="105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23.25" hidden="1" customHeight="1" outlineLevel="1">
      <c r="A350" s="95"/>
      <c r="B350" s="107"/>
      <c r="C350" s="100"/>
      <c r="D350" s="101"/>
      <c r="E350" s="99"/>
      <c r="F350" s="100"/>
      <c r="G350" s="101"/>
      <c r="H350" s="99"/>
      <c r="I350" s="100"/>
      <c r="J350" s="105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23.25" hidden="1" customHeight="1" outlineLevel="1">
      <c r="A351" s="95"/>
      <c r="B351" s="107"/>
      <c r="C351" s="100"/>
      <c r="D351" s="101"/>
      <c r="E351" s="99"/>
      <c r="F351" s="100"/>
      <c r="G351" s="101"/>
      <c r="H351" s="99"/>
      <c r="I351" s="100"/>
      <c r="J351" s="105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23.25" hidden="1" customHeight="1" outlineLevel="1">
      <c r="A352" s="95"/>
      <c r="B352" s="107"/>
      <c r="C352" s="100"/>
      <c r="D352" s="101"/>
      <c r="E352" s="99"/>
      <c r="F352" s="100"/>
      <c r="G352" s="101"/>
      <c r="H352" s="99"/>
      <c r="I352" s="100"/>
      <c r="J352" s="105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23.25" hidden="1" customHeight="1" outlineLevel="1">
      <c r="A353" s="95"/>
      <c r="B353" s="107"/>
      <c r="C353" s="100"/>
      <c r="D353" s="101"/>
      <c r="E353" s="99"/>
      <c r="F353" s="100"/>
      <c r="G353" s="101"/>
      <c r="H353" s="99"/>
      <c r="I353" s="100"/>
      <c r="J353" s="105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23.25" hidden="1" customHeight="1" outlineLevel="1">
      <c r="A354" s="95"/>
      <c r="B354" s="107"/>
      <c r="C354" s="100"/>
      <c r="D354" s="101"/>
      <c r="E354" s="99"/>
      <c r="F354" s="100"/>
      <c r="G354" s="101"/>
      <c r="H354" s="99"/>
      <c r="I354" s="100"/>
      <c r="J354" s="105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23.25" hidden="1" customHeight="1" outlineLevel="1">
      <c r="A355" s="95"/>
      <c r="B355" s="107"/>
      <c r="C355" s="100"/>
      <c r="D355" s="101"/>
      <c r="E355" s="99"/>
      <c r="F355" s="100"/>
      <c r="G355" s="101"/>
      <c r="H355" s="99"/>
      <c r="I355" s="100"/>
      <c r="J355" s="105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23.25" hidden="1" customHeight="1" outlineLevel="1">
      <c r="A356" s="95"/>
      <c r="B356" s="107"/>
      <c r="C356" s="100"/>
      <c r="D356" s="101"/>
      <c r="E356" s="99"/>
      <c r="F356" s="100"/>
      <c r="G356" s="101"/>
      <c r="H356" s="99"/>
      <c r="I356" s="100"/>
      <c r="J356" s="105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23.25" hidden="1" customHeight="1" outlineLevel="1">
      <c r="A357" s="95"/>
      <c r="B357" s="107"/>
      <c r="C357" s="100"/>
      <c r="D357" s="101"/>
      <c r="E357" s="99"/>
      <c r="F357" s="100"/>
      <c r="G357" s="101"/>
      <c r="H357" s="99"/>
      <c r="I357" s="100"/>
      <c r="J357" s="105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23.25" hidden="1" customHeight="1" outlineLevel="1">
      <c r="A358" s="95"/>
      <c r="B358" s="107"/>
      <c r="C358" s="100"/>
      <c r="D358" s="101"/>
      <c r="E358" s="99"/>
      <c r="F358" s="100"/>
      <c r="G358" s="101"/>
      <c r="H358" s="99"/>
      <c r="I358" s="100"/>
      <c r="J358" s="105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23.25" hidden="1" customHeight="1" outlineLevel="1">
      <c r="A359" s="95"/>
      <c r="B359" s="107"/>
      <c r="C359" s="100"/>
      <c r="D359" s="101"/>
      <c r="E359" s="99"/>
      <c r="F359" s="100"/>
      <c r="G359" s="101"/>
      <c r="H359" s="99"/>
      <c r="I359" s="100"/>
      <c r="J359" s="105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23.25" hidden="1" customHeight="1" outlineLevel="1">
      <c r="A360" s="95"/>
      <c r="B360" s="107"/>
      <c r="C360" s="100"/>
      <c r="D360" s="101"/>
      <c r="E360" s="99"/>
      <c r="F360" s="100"/>
      <c r="G360" s="101"/>
      <c r="H360" s="99"/>
      <c r="I360" s="100"/>
      <c r="J360" s="105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23.25" hidden="1" customHeight="1" outlineLevel="1">
      <c r="A361" s="95"/>
      <c r="B361" s="107"/>
      <c r="C361" s="100"/>
      <c r="D361" s="101"/>
      <c r="E361" s="99"/>
      <c r="F361" s="100"/>
      <c r="G361" s="101"/>
      <c r="H361" s="99"/>
      <c r="I361" s="100"/>
      <c r="J361" s="105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23.25" hidden="1" customHeight="1" outlineLevel="1">
      <c r="A362" s="95"/>
      <c r="B362" s="107"/>
      <c r="C362" s="100"/>
      <c r="D362" s="101"/>
      <c r="E362" s="99"/>
      <c r="F362" s="100"/>
      <c r="G362" s="101"/>
      <c r="H362" s="99"/>
      <c r="I362" s="100"/>
      <c r="J362" s="105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23.25" hidden="1" customHeight="1" outlineLevel="1">
      <c r="A363" s="95"/>
      <c r="B363" s="107"/>
      <c r="C363" s="100"/>
      <c r="D363" s="101"/>
      <c r="E363" s="99"/>
      <c r="F363" s="100"/>
      <c r="G363" s="101"/>
      <c r="H363" s="99"/>
      <c r="I363" s="100"/>
      <c r="J363" s="105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23.25" hidden="1" customHeight="1" outlineLevel="1">
      <c r="A364" s="95"/>
      <c r="B364" s="107"/>
      <c r="C364" s="100"/>
      <c r="D364" s="101"/>
      <c r="E364" s="99"/>
      <c r="F364" s="100"/>
      <c r="G364" s="101"/>
      <c r="H364" s="99"/>
      <c r="I364" s="100"/>
      <c r="J364" s="105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23.25" hidden="1" customHeight="1" outlineLevel="1">
      <c r="A365" s="132"/>
      <c r="B365" s="134"/>
      <c r="C365" s="136"/>
      <c r="D365" s="137"/>
      <c r="E365" s="139"/>
      <c r="F365" s="136"/>
      <c r="G365" s="137"/>
      <c r="H365" s="139"/>
      <c r="I365" s="136"/>
      <c r="J365" s="141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23.25" customHeight="1" collapsed="1">
      <c r="A366" s="143"/>
      <c r="B366" s="146" t="s">
        <v>57</v>
      </c>
      <c r="C366" s="148"/>
      <c r="D366" s="149">
        <f>SUM(D322:D365)</f>
        <v>4270.27</v>
      </c>
      <c r="E366" s="146" t="s">
        <v>57</v>
      </c>
      <c r="F366" s="148"/>
      <c r="G366" s="149">
        <f>SUM(G322:G365)</f>
        <v>0</v>
      </c>
      <c r="H366" s="146" t="s">
        <v>57</v>
      </c>
      <c r="I366" s="148"/>
      <c r="J366" s="149">
        <f>SUM(J322:J365)</f>
        <v>2275.89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23.25" customHeight="1">
      <c r="B367" s="156"/>
      <c r="C367" s="153"/>
      <c r="D367" s="153"/>
      <c r="E367" s="154">
        <f>SUM(D366,G366,J366)</f>
        <v>6546.16</v>
      </c>
      <c r="F367" s="122"/>
      <c r="G367" s="123"/>
      <c r="H367" s="156"/>
      <c r="I367" s="153"/>
      <c r="J367" s="153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23.25" customHeight="1">
      <c r="A368" s="157"/>
      <c r="B368" s="83" t="s">
        <v>104</v>
      </c>
      <c r="C368" s="85"/>
      <c r="D368" s="86"/>
      <c r="E368" s="83" t="s">
        <v>104</v>
      </c>
      <c r="F368" s="85"/>
      <c r="G368" s="86"/>
      <c r="H368" s="83" t="s">
        <v>104</v>
      </c>
      <c r="I368" s="85"/>
      <c r="J368" s="86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23.25" customHeight="1" outlineLevel="1">
      <c r="A369" s="89"/>
      <c r="B369" s="90">
        <v>46268.0</v>
      </c>
      <c r="C369" s="97" t="s">
        <v>93</v>
      </c>
      <c r="D369" s="92">
        <v>120.29</v>
      </c>
      <c r="E369" s="159"/>
      <c r="F369" s="160"/>
      <c r="G369" s="161"/>
      <c r="H369" s="102">
        <v>46276.0</v>
      </c>
      <c r="I369" s="91" t="s">
        <v>105</v>
      </c>
      <c r="J369" s="94">
        <v>131.31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23.25" customHeight="1" outlineLevel="1">
      <c r="A370" s="95"/>
      <c r="B370" s="96">
        <v>46268.0</v>
      </c>
      <c r="C370" s="97" t="s">
        <v>106</v>
      </c>
      <c r="D370" s="98">
        <v>141.67</v>
      </c>
      <c r="E370" s="99"/>
      <c r="F370" s="100"/>
      <c r="G370" s="101"/>
      <c r="H370" s="102">
        <v>46281.0</v>
      </c>
      <c r="I370" s="97" t="s">
        <v>107</v>
      </c>
      <c r="J370" s="103">
        <v>30.0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23.25" customHeight="1" outlineLevel="1">
      <c r="A371" s="95"/>
      <c r="B371" s="96">
        <v>46270.0</v>
      </c>
      <c r="C371" s="97" t="s">
        <v>108</v>
      </c>
      <c r="D371" s="98">
        <v>191.74</v>
      </c>
      <c r="E371" s="99"/>
      <c r="F371" s="100"/>
      <c r="G371" s="101"/>
      <c r="H371" s="99"/>
      <c r="I371" s="100"/>
      <c r="J371" s="105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23.25" customHeight="1" outlineLevel="1">
      <c r="A372" s="95"/>
      <c r="B372" s="96">
        <v>46274.0</v>
      </c>
      <c r="C372" s="97" t="s">
        <v>109</v>
      </c>
      <c r="D372" s="98">
        <v>147.89</v>
      </c>
      <c r="E372" s="99"/>
      <c r="F372" s="100"/>
      <c r="G372" s="101"/>
      <c r="H372" s="99"/>
      <c r="I372" s="100"/>
      <c r="J372" s="105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23.25" customHeight="1" outlineLevel="1">
      <c r="A373" s="95"/>
      <c r="B373" s="96">
        <v>46274.0</v>
      </c>
      <c r="C373" s="97" t="s">
        <v>110</v>
      </c>
      <c r="D373" s="98">
        <v>141.18</v>
      </c>
      <c r="E373" s="99"/>
      <c r="F373" s="100"/>
      <c r="G373" s="101"/>
      <c r="H373" s="99"/>
      <c r="I373" s="100"/>
      <c r="J373" s="105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23.25" customHeight="1" outlineLevel="1">
      <c r="A374" s="95"/>
      <c r="B374" s="96">
        <v>46282.0</v>
      </c>
      <c r="C374" s="97" t="s">
        <v>110</v>
      </c>
      <c r="D374" s="98">
        <v>210.2</v>
      </c>
      <c r="E374" s="99"/>
      <c r="F374" s="100"/>
      <c r="G374" s="101"/>
      <c r="H374" s="99"/>
      <c r="I374" s="100"/>
      <c r="J374" s="105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23.25" customHeight="1" outlineLevel="1">
      <c r="A375" s="95"/>
      <c r="B375" s="107"/>
      <c r="C375" s="100"/>
      <c r="D375" s="101"/>
      <c r="E375" s="99"/>
      <c r="F375" s="100"/>
      <c r="G375" s="101"/>
      <c r="H375" s="99"/>
      <c r="I375" s="100"/>
      <c r="J375" s="105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23.25" customHeight="1" outlineLevel="1">
      <c r="A376" s="95"/>
      <c r="B376" s="107"/>
      <c r="C376" s="100"/>
      <c r="D376" s="101"/>
      <c r="E376" s="99"/>
      <c r="F376" s="100"/>
      <c r="G376" s="101"/>
      <c r="H376" s="99"/>
      <c r="I376" s="100"/>
      <c r="J376" s="105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23.25" customHeight="1" outlineLevel="1">
      <c r="A377" s="95"/>
      <c r="B377" s="107"/>
      <c r="C377" s="100"/>
      <c r="D377" s="101"/>
      <c r="E377" s="99"/>
      <c r="F377" s="100"/>
      <c r="G377" s="101"/>
      <c r="H377" s="99"/>
      <c r="I377" s="100"/>
      <c r="J377" s="105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23.25" customHeight="1" outlineLevel="1">
      <c r="A378" s="95"/>
      <c r="B378" s="107"/>
      <c r="C378" s="109"/>
      <c r="D378" s="101"/>
      <c r="E378" s="99"/>
      <c r="F378" s="100"/>
      <c r="G378" s="101"/>
      <c r="H378" s="99"/>
      <c r="I378" s="100"/>
      <c r="J378" s="105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23.25" customHeight="1" outlineLevel="1">
      <c r="A379" s="95"/>
      <c r="B379" s="107"/>
      <c r="C379" s="100"/>
      <c r="D379" s="101"/>
      <c r="E379" s="99"/>
      <c r="F379" s="100"/>
      <c r="G379" s="101"/>
      <c r="H379" s="99"/>
      <c r="I379" s="100"/>
      <c r="J379" s="105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23.25" customHeight="1" outlineLevel="1">
      <c r="A380" s="95"/>
      <c r="B380" s="107"/>
      <c r="C380" s="100"/>
      <c r="D380" s="101"/>
      <c r="E380" s="99"/>
      <c r="F380" s="100"/>
      <c r="G380" s="101"/>
      <c r="H380" s="99"/>
      <c r="I380" s="100"/>
      <c r="J380" s="105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23.25" customHeight="1" outlineLevel="1">
      <c r="A381" s="95"/>
      <c r="B381" s="107"/>
      <c r="C381" s="100"/>
      <c r="D381" s="101"/>
      <c r="E381" s="99"/>
      <c r="F381" s="100"/>
      <c r="G381" s="101"/>
      <c r="H381" s="99"/>
      <c r="I381" s="100"/>
      <c r="J381" s="105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23.25" customHeight="1" outlineLevel="1">
      <c r="A382" s="95"/>
      <c r="B382" s="107"/>
      <c r="C382" s="100"/>
      <c r="D382" s="101"/>
      <c r="E382" s="99"/>
      <c r="F382" s="100"/>
      <c r="G382" s="101"/>
      <c r="H382" s="99"/>
      <c r="I382" s="100"/>
      <c r="J382" s="105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23.25" customHeight="1" outlineLevel="1">
      <c r="A383" s="95"/>
      <c r="B383" s="107"/>
      <c r="C383" s="100"/>
      <c r="D383" s="101"/>
      <c r="E383" s="99"/>
      <c r="F383" s="100"/>
      <c r="G383" s="101"/>
      <c r="H383" s="99"/>
      <c r="I383" s="100"/>
      <c r="J383" s="105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23.25" customHeight="1" outlineLevel="1">
      <c r="A384" s="95"/>
      <c r="B384" s="107"/>
      <c r="C384" s="100"/>
      <c r="D384" s="101"/>
      <c r="E384" s="99"/>
      <c r="F384" s="100"/>
      <c r="G384" s="101"/>
      <c r="H384" s="99"/>
      <c r="I384" s="100"/>
      <c r="J384" s="105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23.25" customHeight="1" outlineLevel="1">
      <c r="A385" s="95"/>
      <c r="B385" s="107"/>
      <c r="C385" s="100"/>
      <c r="D385" s="101"/>
      <c r="E385" s="99"/>
      <c r="F385" s="100"/>
      <c r="G385" s="101"/>
      <c r="H385" s="99"/>
      <c r="I385" s="100"/>
      <c r="J385" s="105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23.25" customHeight="1" outlineLevel="1">
      <c r="A386" s="95"/>
      <c r="B386" s="107"/>
      <c r="C386" s="100"/>
      <c r="D386" s="101"/>
      <c r="E386" s="99"/>
      <c r="F386" s="100"/>
      <c r="G386" s="101"/>
      <c r="H386" s="99"/>
      <c r="I386" s="100"/>
      <c r="J386" s="105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23.25" customHeight="1" outlineLevel="1">
      <c r="A387" s="95"/>
      <c r="B387" s="107"/>
      <c r="C387" s="100"/>
      <c r="D387" s="101"/>
      <c r="E387" s="99"/>
      <c r="F387" s="100"/>
      <c r="G387" s="101"/>
      <c r="H387" s="99"/>
      <c r="I387" s="100"/>
      <c r="J387" s="105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23.25" customHeight="1" outlineLevel="1">
      <c r="A388" s="95"/>
      <c r="B388" s="107"/>
      <c r="C388" s="100"/>
      <c r="D388" s="101"/>
      <c r="E388" s="99"/>
      <c r="F388" s="100"/>
      <c r="G388" s="101"/>
      <c r="H388" s="99"/>
      <c r="I388" s="100"/>
      <c r="J388" s="105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23.25" customHeight="1" outlineLevel="1">
      <c r="A389" s="95"/>
      <c r="B389" s="107"/>
      <c r="C389" s="100"/>
      <c r="D389" s="101"/>
      <c r="E389" s="99"/>
      <c r="F389" s="100"/>
      <c r="G389" s="101"/>
      <c r="H389" s="99"/>
      <c r="I389" s="100"/>
      <c r="J389" s="105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23.25" customHeight="1" outlineLevel="1">
      <c r="A390" s="95"/>
      <c r="B390" s="107"/>
      <c r="C390" s="100"/>
      <c r="D390" s="101"/>
      <c r="E390" s="99"/>
      <c r="F390" s="100"/>
      <c r="G390" s="101"/>
      <c r="H390" s="99"/>
      <c r="I390" s="100"/>
      <c r="J390" s="105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23.25" customHeight="1" outlineLevel="1">
      <c r="A391" s="95"/>
      <c r="B391" s="107"/>
      <c r="C391" s="100"/>
      <c r="D391" s="101"/>
      <c r="E391" s="99"/>
      <c r="F391" s="100"/>
      <c r="G391" s="101"/>
      <c r="H391" s="99"/>
      <c r="I391" s="100"/>
      <c r="J391" s="105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23.25" customHeight="1" outlineLevel="1">
      <c r="A392" s="95"/>
      <c r="B392" s="107"/>
      <c r="C392" s="100"/>
      <c r="D392" s="101"/>
      <c r="E392" s="99"/>
      <c r="F392" s="100"/>
      <c r="G392" s="101"/>
      <c r="H392" s="99"/>
      <c r="I392" s="100"/>
      <c r="J392" s="105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23.25" customHeight="1" outlineLevel="1">
      <c r="A393" s="95"/>
      <c r="B393" s="107"/>
      <c r="C393" s="100"/>
      <c r="D393" s="101"/>
      <c r="E393" s="99"/>
      <c r="F393" s="100"/>
      <c r="G393" s="101"/>
      <c r="H393" s="99"/>
      <c r="I393" s="100"/>
      <c r="J393" s="105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23.25" customHeight="1" outlineLevel="1">
      <c r="A394" s="95"/>
      <c r="B394" s="107"/>
      <c r="C394" s="100"/>
      <c r="D394" s="101"/>
      <c r="E394" s="99"/>
      <c r="F394" s="100"/>
      <c r="G394" s="101"/>
      <c r="H394" s="99"/>
      <c r="I394" s="100"/>
      <c r="J394" s="105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23.25" customHeight="1" outlineLevel="1">
      <c r="A395" s="95"/>
      <c r="B395" s="107"/>
      <c r="C395" s="100"/>
      <c r="D395" s="101"/>
      <c r="E395" s="99"/>
      <c r="F395" s="100"/>
      <c r="G395" s="101"/>
      <c r="H395" s="99"/>
      <c r="I395" s="100"/>
      <c r="J395" s="105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23.25" customHeight="1" outlineLevel="1">
      <c r="A396" s="95"/>
      <c r="B396" s="107"/>
      <c r="C396" s="100"/>
      <c r="D396" s="101"/>
      <c r="E396" s="99"/>
      <c r="F396" s="100"/>
      <c r="G396" s="101"/>
      <c r="H396" s="99"/>
      <c r="I396" s="100"/>
      <c r="J396" s="105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23.25" customHeight="1" outlineLevel="1">
      <c r="A397" s="95"/>
      <c r="B397" s="107"/>
      <c r="C397" s="100"/>
      <c r="D397" s="101"/>
      <c r="E397" s="99"/>
      <c r="F397" s="100"/>
      <c r="G397" s="101"/>
      <c r="H397" s="99"/>
      <c r="I397" s="100"/>
      <c r="J397" s="105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23.25" customHeight="1" outlineLevel="1">
      <c r="A398" s="95"/>
      <c r="B398" s="107"/>
      <c r="C398" s="100"/>
      <c r="D398" s="101"/>
      <c r="E398" s="99"/>
      <c r="F398" s="100"/>
      <c r="G398" s="101"/>
      <c r="H398" s="99"/>
      <c r="I398" s="100"/>
      <c r="J398" s="105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23.25" customHeight="1" outlineLevel="1">
      <c r="A399" s="95"/>
      <c r="B399" s="107"/>
      <c r="C399" s="100"/>
      <c r="D399" s="101"/>
      <c r="E399" s="99"/>
      <c r="F399" s="100"/>
      <c r="G399" s="101"/>
      <c r="H399" s="99"/>
      <c r="I399" s="100"/>
      <c r="J399" s="105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23.25" customHeight="1" outlineLevel="1">
      <c r="A400" s="95"/>
      <c r="B400" s="107"/>
      <c r="C400" s="100"/>
      <c r="D400" s="101"/>
      <c r="E400" s="99"/>
      <c r="F400" s="100"/>
      <c r="G400" s="101"/>
      <c r="H400" s="99"/>
      <c r="I400" s="100"/>
      <c r="J400" s="105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23.25" customHeight="1" outlineLevel="1">
      <c r="A401" s="95"/>
      <c r="B401" s="107"/>
      <c r="C401" s="100"/>
      <c r="D401" s="101"/>
      <c r="E401" s="99"/>
      <c r="F401" s="100"/>
      <c r="G401" s="101"/>
      <c r="H401" s="99"/>
      <c r="I401" s="100"/>
      <c r="J401" s="105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23.25" customHeight="1" outlineLevel="1">
      <c r="A402" s="95"/>
      <c r="B402" s="107"/>
      <c r="C402" s="100"/>
      <c r="D402" s="101"/>
      <c r="E402" s="99"/>
      <c r="F402" s="100"/>
      <c r="G402" s="101"/>
      <c r="H402" s="99"/>
      <c r="I402" s="100"/>
      <c r="J402" s="105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23.25" customHeight="1" outlineLevel="1">
      <c r="A403" s="95"/>
      <c r="B403" s="107"/>
      <c r="C403" s="100"/>
      <c r="D403" s="101"/>
      <c r="E403" s="99"/>
      <c r="F403" s="100"/>
      <c r="G403" s="101"/>
      <c r="H403" s="99"/>
      <c r="I403" s="100"/>
      <c r="J403" s="105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23.25" customHeight="1" outlineLevel="1">
      <c r="A404" s="95"/>
      <c r="B404" s="107"/>
      <c r="C404" s="100"/>
      <c r="D404" s="101"/>
      <c r="E404" s="99"/>
      <c r="F404" s="100"/>
      <c r="G404" s="101"/>
      <c r="H404" s="99"/>
      <c r="I404" s="100"/>
      <c r="J404" s="105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23.25" customHeight="1" outlineLevel="1">
      <c r="A405" s="95"/>
      <c r="B405" s="107"/>
      <c r="C405" s="100"/>
      <c r="D405" s="101"/>
      <c r="E405" s="99"/>
      <c r="F405" s="100"/>
      <c r="G405" s="101"/>
      <c r="H405" s="99"/>
      <c r="I405" s="100"/>
      <c r="J405" s="105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23.25" customHeight="1" outlineLevel="1">
      <c r="A406" s="95"/>
      <c r="B406" s="107"/>
      <c r="C406" s="100"/>
      <c r="D406" s="101"/>
      <c r="E406" s="99"/>
      <c r="F406" s="100"/>
      <c r="G406" s="101"/>
      <c r="H406" s="99"/>
      <c r="I406" s="100"/>
      <c r="J406" s="105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23.25" customHeight="1" outlineLevel="1">
      <c r="A407" s="95"/>
      <c r="B407" s="107"/>
      <c r="C407" s="100"/>
      <c r="D407" s="101"/>
      <c r="E407" s="99"/>
      <c r="F407" s="100"/>
      <c r="G407" s="101"/>
      <c r="H407" s="99"/>
      <c r="I407" s="100"/>
      <c r="J407" s="105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23.25" customHeight="1" outlineLevel="1">
      <c r="A408" s="95"/>
      <c r="B408" s="107"/>
      <c r="C408" s="100"/>
      <c r="D408" s="101"/>
      <c r="E408" s="99"/>
      <c r="F408" s="100"/>
      <c r="G408" s="101"/>
      <c r="H408" s="99"/>
      <c r="I408" s="100"/>
      <c r="J408" s="105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23.25" customHeight="1" outlineLevel="1">
      <c r="A409" s="95"/>
      <c r="B409" s="107"/>
      <c r="C409" s="100"/>
      <c r="D409" s="101"/>
      <c r="E409" s="99"/>
      <c r="F409" s="100"/>
      <c r="G409" s="101"/>
      <c r="H409" s="99"/>
      <c r="I409" s="100"/>
      <c r="J409" s="105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23.25" customHeight="1" outlineLevel="1">
      <c r="A410" s="95"/>
      <c r="B410" s="107"/>
      <c r="C410" s="100"/>
      <c r="D410" s="101"/>
      <c r="E410" s="99"/>
      <c r="F410" s="100"/>
      <c r="G410" s="101"/>
      <c r="H410" s="99"/>
      <c r="I410" s="100"/>
      <c r="J410" s="105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23.25" customHeight="1" outlineLevel="1">
      <c r="A411" s="95"/>
      <c r="B411" s="107"/>
      <c r="C411" s="100"/>
      <c r="D411" s="101"/>
      <c r="E411" s="99"/>
      <c r="F411" s="100"/>
      <c r="G411" s="101"/>
      <c r="H411" s="99"/>
      <c r="I411" s="100"/>
      <c r="J411" s="105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23.25" customHeight="1" outlineLevel="1">
      <c r="A412" s="132"/>
      <c r="B412" s="134"/>
      <c r="C412" s="136"/>
      <c r="D412" s="137"/>
      <c r="E412" s="139"/>
      <c r="F412" s="136"/>
      <c r="G412" s="137"/>
      <c r="H412" s="139"/>
      <c r="I412" s="136"/>
      <c r="J412" s="141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23.25" customHeight="1">
      <c r="A413" s="143"/>
      <c r="B413" s="146" t="s">
        <v>57</v>
      </c>
      <c r="C413" s="148"/>
      <c r="D413" s="149">
        <f>SUM(D369:D412)</f>
        <v>952.97</v>
      </c>
      <c r="E413" s="146" t="s">
        <v>57</v>
      </c>
      <c r="F413" s="148"/>
      <c r="G413" s="149">
        <f>SUM(G369:G412)</f>
        <v>0</v>
      </c>
      <c r="H413" s="146" t="s">
        <v>57</v>
      </c>
      <c r="I413" s="148"/>
      <c r="J413" s="149">
        <f>SUM(J369:J412)</f>
        <v>161.31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23.25" customHeight="1">
      <c r="B414" s="156"/>
      <c r="C414" s="153"/>
      <c r="D414" s="153"/>
      <c r="E414" s="154">
        <f>SUM(D413,G413,J413)</f>
        <v>1114.28</v>
      </c>
      <c r="F414" s="122"/>
      <c r="G414" s="123"/>
      <c r="H414" s="156"/>
      <c r="I414" s="153"/>
      <c r="J414" s="153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23.25" customHeight="1">
      <c r="A415" s="157"/>
      <c r="B415" s="83" t="s">
        <v>111</v>
      </c>
      <c r="C415" s="85"/>
      <c r="D415" s="86"/>
      <c r="E415" s="83" t="s">
        <v>111</v>
      </c>
      <c r="F415" s="85"/>
      <c r="G415" s="86"/>
      <c r="H415" s="83" t="s">
        <v>111</v>
      </c>
      <c r="I415" s="85"/>
      <c r="J415" s="86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23.25" hidden="1" customHeight="1" outlineLevel="1">
      <c r="A416" s="89"/>
      <c r="B416" s="174"/>
      <c r="C416" s="160"/>
      <c r="D416" s="161"/>
      <c r="E416" s="159"/>
      <c r="F416" s="160"/>
      <c r="G416" s="161"/>
      <c r="H416" s="159"/>
      <c r="I416" s="160"/>
      <c r="J416" s="175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23.25" hidden="1" customHeight="1" outlineLevel="1">
      <c r="A417" s="95"/>
      <c r="B417" s="107"/>
      <c r="C417" s="100"/>
      <c r="D417" s="101"/>
      <c r="E417" s="99"/>
      <c r="F417" s="100"/>
      <c r="G417" s="101"/>
      <c r="H417" s="99"/>
      <c r="I417" s="100"/>
      <c r="J417" s="105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23.25" hidden="1" customHeight="1" outlineLevel="1">
      <c r="A418" s="95"/>
      <c r="B418" s="107"/>
      <c r="C418" s="100"/>
      <c r="D418" s="101"/>
      <c r="E418" s="99"/>
      <c r="F418" s="100"/>
      <c r="G418" s="101"/>
      <c r="H418" s="99"/>
      <c r="I418" s="100"/>
      <c r="J418" s="105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23.25" hidden="1" customHeight="1" outlineLevel="1">
      <c r="A419" s="95"/>
      <c r="B419" s="107"/>
      <c r="C419" s="100"/>
      <c r="D419" s="101"/>
      <c r="E419" s="99"/>
      <c r="F419" s="100"/>
      <c r="G419" s="101"/>
      <c r="H419" s="99"/>
      <c r="I419" s="100"/>
      <c r="J419" s="105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23.25" hidden="1" customHeight="1" outlineLevel="1">
      <c r="A420" s="95"/>
      <c r="B420" s="107"/>
      <c r="C420" s="100"/>
      <c r="D420" s="101"/>
      <c r="E420" s="99"/>
      <c r="F420" s="100"/>
      <c r="G420" s="101"/>
      <c r="H420" s="99"/>
      <c r="I420" s="100"/>
      <c r="J420" s="105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23.25" hidden="1" customHeight="1" outlineLevel="1">
      <c r="A421" s="95"/>
      <c r="B421" s="107"/>
      <c r="C421" s="100"/>
      <c r="D421" s="101"/>
      <c r="E421" s="99"/>
      <c r="F421" s="100"/>
      <c r="G421" s="101"/>
      <c r="H421" s="99"/>
      <c r="I421" s="100"/>
      <c r="J421" s="105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23.25" hidden="1" customHeight="1" outlineLevel="1">
      <c r="A422" s="95"/>
      <c r="B422" s="107"/>
      <c r="C422" s="100"/>
      <c r="D422" s="101"/>
      <c r="E422" s="99"/>
      <c r="F422" s="100"/>
      <c r="G422" s="101"/>
      <c r="H422" s="99"/>
      <c r="I422" s="100"/>
      <c r="J422" s="105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23.25" hidden="1" customHeight="1" outlineLevel="1">
      <c r="A423" s="95"/>
      <c r="B423" s="107"/>
      <c r="C423" s="100"/>
      <c r="D423" s="101"/>
      <c r="E423" s="99"/>
      <c r="F423" s="100"/>
      <c r="G423" s="101"/>
      <c r="H423" s="99"/>
      <c r="I423" s="100"/>
      <c r="J423" s="105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23.25" hidden="1" customHeight="1" outlineLevel="1">
      <c r="A424" s="95"/>
      <c r="B424" s="107"/>
      <c r="C424" s="100"/>
      <c r="D424" s="101"/>
      <c r="E424" s="99"/>
      <c r="F424" s="100"/>
      <c r="G424" s="101"/>
      <c r="H424" s="99"/>
      <c r="I424" s="100"/>
      <c r="J424" s="105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23.25" hidden="1" customHeight="1" outlineLevel="1">
      <c r="A425" s="95"/>
      <c r="B425" s="107"/>
      <c r="C425" s="109"/>
      <c r="D425" s="101"/>
      <c r="E425" s="99"/>
      <c r="F425" s="100"/>
      <c r="G425" s="101"/>
      <c r="H425" s="99"/>
      <c r="I425" s="100"/>
      <c r="J425" s="105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23.25" hidden="1" customHeight="1" outlineLevel="1">
      <c r="A426" s="95"/>
      <c r="B426" s="107"/>
      <c r="C426" s="100"/>
      <c r="D426" s="101"/>
      <c r="E426" s="99"/>
      <c r="F426" s="100"/>
      <c r="G426" s="101"/>
      <c r="H426" s="99"/>
      <c r="I426" s="100"/>
      <c r="J426" s="105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23.25" hidden="1" customHeight="1" outlineLevel="1">
      <c r="A427" s="95"/>
      <c r="B427" s="107"/>
      <c r="C427" s="100"/>
      <c r="D427" s="101"/>
      <c r="E427" s="99"/>
      <c r="F427" s="100"/>
      <c r="G427" s="101"/>
      <c r="H427" s="99"/>
      <c r="I427" s="100"/>
      <c r="J427" s="105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23.25" hidden="1" customHeight="1" outlineLevel="1">
      <c r="A428" s="95"/>
      <c r="B428" s="107"/>
      <c r="C428" s="100"/>
      <c r="D428" s="101"/>
      <c r="E428" s="99"/>
      <c r="F428" s="100"/>
      <c r="G428" s="101"/>
      <c r="H428" s="99"/>
      <c r="I428" s="100"/>
      <c r="J428" s="105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23.25" hidden="1" customHeight="1" outlineLevel="1">
      <c r="A429" s="95"/>
      <c r="B429" s="107"/>
      <c r="C429" s="100"/>
      <c r="D429" s="101"/>
      <c r="E429" s="99"/>
      <c r="F429" s="100"/>
      <c r="G429" s="101"/>
      <c r="H429" s="99"/>
      <c r="I429" s="100"/>
      <c r="J429" s="105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23.25" hidden="1" customHeight="1" outlineLevel="1">
      <c r="A430" s="95"/>
      <c r="B430" s="107"/>
      <c r="C430" s="100"/>
      <c r="D430" s="101"/>
      <c r="E430" s="99"/>
      <c r="F430" s="100"/>
      <c r="G430" s="101"/>
      <c r="H430" s="99"/>
      <c r="I430" s="100"/>
      <c r="J430" s="105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23.25" hidden="1" customHeight="1" outlineLevel="1">
      <c r="A431" s="95"/>
      <c r="B431" s="107"/>
      <c r="C431" s="100"/>
      <c r="D431" s="101"/>
      <c r="E431" s="99"/>
      <c r="F431" s="100"/>
      <c r="G431" s="101"/>
      <c r="H431" s="99"/>
      <c r="I431" s="100"/>
      <c r="J431" s="105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23.25" hidden="1" customHeight="1" outlineLevel="1">
      <c r="A432" s="95"/>
      <c r="B432" s="107"/>
      <c r="C432" s="100"/>
      <c r="D432" s="101"/>
      <c r="E432" s="99"/>
      <c r="F432" s="100"/>
      <c r="G432" s="101"/>
      <c r="H432" s="99"/>
      <c r="I432" s="100"/>
      <c r="J432" s="105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23.25" hidden="1" customHeight="1" outlineLevel="1">
      <c r="A433" s="95"/>
      <c r="B433" s="107"/>
      <c r="C433" s="100"/>
      <c r="D433" s="101"/>
      <c r="E433" s="99"/>
      <c r="F433" s="100"/>
      <c r="G433" s="101"/>
      <c r="H433" s="99"/>
      <c r="I433" s="100"/>
      <c r="J433" s="105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23.25" hidden="1" customHeight="1" outlineLevel="1">
      <c r="A434" s="95"/>
      <c r="B434" s="107"/>
      <c r="C434" s="100"/>
      <c r="D434" s="101"/>
      <c r="E434" s="99"/>
      <c r="F434" s="100"/>
      <c r="G434" s="101"/>
      <c r="H434" s="99"/>
      <c r="I434" s="100"/>
      <c r="J434" s="105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23.25" hidden="1" customHeight="1" outlineLevel="1">
      <c r="A435" s="95"/>
      <c r="B435" s="107"/>
      <c r="C435" s="100"/>
      <c r="D435" s="101"/>
      <c r="E435" s="99"/>
      <c r="F435" s="100"/>
      <c r="G435" s="101"/>
      <c r="H435" s="99"/>
      <c r="I435" s="100"/>
      <c r="J435" s="105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23.25" hidden="1" customHeight="1" outlineLevel="1">
      <c r="A436" s="95"/>
      <c r="B436" s="107"/>
      <c r="C436" s="100"/>
      <c r="D436" s="101"/>
      <c r="E436" s="99"/>
      <c r="F436" s="100"/>
      <c r="G436" s="101"/>
      <c r="H436" s="99"/>
      <c r="I436" s="100"/>
      <c r="J436" s="105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23.25" hidden="1" customHeight="1" outlineLevel="1">
      <c r="A437" s="95"/>
      <c r="B437" s="107"/>
      <c r="C437" s="100"/>
      <c r="D437" s="101"/>
      <c r="E437" s="99"/>
      <c r="F437" s="100"/>
      <c r="G437" s="101"/>
      <c r="H437" s="99"/>
      <c r="I437" s="100"/>
      <c r="J437" s="105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23.25" hidden="1" customHeight="1" outlineLevel="1">
      <c r="A438" s="95"/>
      <c r="B438" s="107"/>
      <c r="C438" s="100"/>
      <c r="D438" s="101"/>
      <c r="E438" s="99"/>
      <c r="F438" s="100"/>
      <c r="G438" s="101"/>
      <c r="H438" s="99"/>
      <c r="I438" s="100"/>
      <c r="J438" s="105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23.25" hidden="1" customHeight="1" outlineLevel="1">
      <c r="A439" s="95"/>
      <c r="B439" s="107"/>
      <c r="C439" s="100"/>
      <c r="D439" s="101"/>
      <c r="E439" s="99"/>
      <c r="F439" s="100"/>
      <c r="G439" s="101"/>
      <c r="H439" s="99"/>
      <c r="I439" s="100"/>
      <c r="J439" s="105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23.25" hidden="1" customHeight="1" outlineLevel="1">
      <c r="A440" s="95"/>
      <c r="B440" s="107"/>
      <c r="C440" s="100"/>
      <c r="D440" s="101"/>
      <c r="E440" s="99"/>
      <c r="F440" s="100"/>
      <c r="G440" s="101"/>
      <c r="H440" s="99"/>
      <c r="I440" s="100"/>
      <c r="J440" s="105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23.25" hidden="1" customHeight="1" outlineLevel="1">
      <c r="A441" s="95"/>
      <c r="B441" s="107"/>
      <c r="C441" s="100"/>
      <c r="D441" s="101"/>
      <c r="E441" s="99"/>
      <c r="F441" s="100"/>
      <c r="G441" s="101"/>
      <c r="H441" s="99"/>
      <c r="I441" s="100"/>
      <c r="J441" s="105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23.25" hidden="1" customHeight="1" outlineLevel="1">
      <c r="A442" s="95"/>
      <c r="B442" s="107"/>
      <c r="C442" s="100"/>
      <c r="D442" s="101"/>
      <c r="E442" s="99"/>
      <c r="F442" s="100"/>
      <c r="G442" s="101"/>
      <c r="H442" s="99"/>
      <c r="I442" s="100"/>
      <c r="J442" s="105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23.25" hidden="1" customHeight="1" outlineLevel="1">
      <c r="A443" s="95"/>
      <c r="B443" s="107"/>
      <c r="C443" s="100"/>
      <c r="D443" s="101"/>
      <c r="E443" s="99"/>
      <c r="F443" s="100"/>
      <c r="G443" s="101"/>
      <c r="H443" s="99"/>
      <c r="I443" s="100"/>
      <c r="J443" s="105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23.25" hidden="1" customHeight="1" outlineLevel="1">
      <c r="A444" s="95"/>
      <c r="B444" s="107"/>
      <c r="C444" s="100"/>
      <c r="D444" s="101"/>
      <c r="E444" s="99"/>
      <c r="F444" s="100"/>
      <c r="G444" s="101"/>
      <c r="H444" s="99"/>
      <c r="I444" s="100"/>
      <c r="J444" s="105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23.25" hidden="1" customHeight="1" outlineLevel="1">
      <c r="A445" s="95"/>
      <c r="B445" s="107"/>
      <c r="C445" s="100"/>
      <c r="D445" s="101"/>
      <c r="E445" s="99"/>
      <c r="F445" s="100"/>
      <c r="G445" s="101"/>
      <c r="H445" s="99"/>
      <c r="I445" s="100"/>
      <c r="J445" s="105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23.25" hidden="1" customHeight="1" outlineLevel="1">
      <c r="A446" s="95"/>
      <c r="B446" s="107"/>
      <c r="C446" s="100"/>
      <c r="D446" s="101"/>
      <c r="E446" s="99"/>
      <c r="F446" s="100"/>
      <c r="G446" s="101"/>
      <c r="H446" s="99"/>
      <c r="I446" s="100"/>
      <c r="J446" s="105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23.25" hidden="1" customHeight="1" outlineLevel="1">
      <c r="A447" s="95"/>
      <c r="B447" s="107"/>
      <c r="C447" s="100"/>
      <c r="D447" s="101"/>
      <c r="E447" s="99"/>
      <c r="F447" s="100"/>
      <c r="G447" s="101"/>
      <c r="H447" s="99"/>
      <c r="I447" s="100"/>
      <c r="J447" s="105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23.25" hidden="1" customHeight="1" outlineLevel="1">
      <c r="A448" s="95"/>
      <c r="B448" s="107"/>
      <c r="C448" s="100"/>
      <c r="D448" s="101"/>
      <c r="E448" s="99"/>
      <c r="F448" s="100"/>
      <c r="G448" s="101"/>
      <c r="H448" s="99"/>
      <c r="I448" s="100"/>
      <c r="J448" s="105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23.25" hidden="1" customHeight="1" outlineLevel="1">
      <c r="A449" s="95"/>
      <c r="B449" s="107"/>
      <c r="C449" s="100"/>
      <c r="D449" s="101"/>
      <c r="E449" s="99"/>
      <c r="F449" s="100"/>
      <c r="G449" s="101"/>
      <c r="H449" s="99"/>
      <c r="I449" s="100"/>
      <c r="J449" s="105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23.25" hidden="1" customHeight="1" outlineLevel="1">
      <c r="A450" s="95"/>
      <c r="B450" s="107"/>
      <c r="C450" s="100"/>
      <c r="D450" s="101"/>
      <c r="E450" s="99"/>
      <c r="F450" s="100"/>
      <c r="G450" s="101"/>
      <c r="H450" s="99"/>
      <c r="I450" s="100"/>
      <c r="J450" s="105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23.25" hidden="1" customHeight="1" outlineLevel="1">
      <c r="A451" s="95"/>
      <c r="B451" s="107"/>
      <c r="C451" s="100"/>
      <c r="D451" s="101"/>
      <c r="E451" s="99"/>
      <c r="F451" s="100"/>
      <c r="G451" s="101"/>
      <c r="H451" s="99"/>
      <c r="I451" s="100"/>
      <c r="J451" s="105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23.25" hidden="1" customHeight="1" outlineLevel="1">
      <c r="A452" s="95"/>
      <c r="B452" s="107"/>
      <c r="C452" s="100"/>
      <c r="D452" s="101"/>
      <c r="E452" s="99"/>
      <c r="F452" s="100"/>
      <c r="G452" s="101"/>
      <c r="H452" s="99"/>
      <c r="I452" s="100"/>
      <c r="J452" s="105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23.25" hidden="1" customHeight="1" outlineLevel="1">
      <c r="A453" s="95"/>
      <c r="B453" s="107"/>
      <c r="C453" s="100"/>
      <c r="D453" s="101"/>
      <c r="E453" s="99"/>
      <c r="F453" s="100"/>
      <c r="G453" s="101"/>
      <c r="H453" s="99"/>
      <c r="I453" s="100"/>
      <c r="J453" s="105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23.25" hidden="1" customHeight="1" outlineLevel="1">
      <c r="A454" s="95"/>
      <c r="B454" s="107"/>
      <c r="C454" s="100"/>
      <c r="D454" s="101"/>
      <c r="E454" s="99"/>
      <c r="F454" s="100"/>
      <c r="G454" s="101"/>
      <c r="H454" s="99"/>
      <c r="I454" s="100"/>
      <c r="J454" s="105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23.25" hidden="1" customHeight="1" outlineLevel="1">
      <c r="A455" s="95"/>
      <c r="B455" s="107"/>
      <c r="C455" s="100"/>
      <c r="D455" s="101"/>
      <c r="E455" s="99"/>
      <c r="F455" s="100"/>
      <c r="G455" s="101"/>
      <c r="H455" s="99"/>
      <c r="I455" s="100"/>
      <c r="J455" s="105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23.25" hidden="1" customHeight="1" outlineLevel="1">
      <c r="A456" s="95"/>
      <c r="B456" s="107"/>
      <c r="C456" s="100"/>
      <c r="D456" s="101"/>
      <c r="E456" s="99"/>
      <c r="F456" s="100"/>
      <c r="G456" s="101"/>
      <c r="H456" s="99"/>
      <c r="I456" s="100"/>
      <c r="J456" s="105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23.25" hidden="1" customHeight="1" outlineLevel="1">
      <c r="A457" s="95"/>
      <c r="B457" s="107"/>
      <c r="C457" s="100"/>
      <c r="D457" s="101"/>
      <c r="E457" s="99"/>
      <c r="F457" s="100"/>
      <c r="G457" s="101"/>
      <c r="H457" s="99"/>
      <c r="I457" s="100"/>
      <c r="J457" s="105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23.25" hidden="1" customHeight="1" outlineLevel="1">
      <c r="A458" s="95"/>
      <c r="B458" s="107"/>
      <c r="C458" s="100"/>
      <c r="D458" s="101"/>
      <c r="E458" s="99"/>
      <c r="F458" s="100"/>
      <c r="G458" s="101"/>
      <c r="H458" s="99"/>
      <c r="I458" s="100"/>
      <c r="J458" s="105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23.25" hidden="1" customHeight="1" outlineLevel="1">
      <c r="A459" s="132"/>
      <c r="B459" s="134"/>
      <c r="C459" s="136"/>
      <c r="D459" s="137"/>
      <c r="E459" s="139"/>
      <c r="F459" s="136"/>
      <c r="G459" s="137"/>
      <c r="H459" s="139"/>
      <c r="I459" s="136"/>
      <c r="J459" s="141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23.25" customHeight="1" collapsed="1">
      <c r="A460" s="143"/>
      <c r="B460" s="146" t="s">
        <v>57</v>
      </c>
      <c r="C460" s="148"/>
      <c r="D460" s="149">
        <f>SUM(D416:D459)</f>
        <v>0</v>
      </c>
      <c r="E460" s="146" t="s">
        <v>57</v>
      </c>
      <c r="F460" s="148"/>
      <c r="G460" s="149">
        <f>SUM(G416:G459)</f>
        <v>0</v>
      </c>
      <c r="H460" s="146" t="s">
        <v>57</v>
      </c>
      <c r="I460" s="148"/>
      <c r="J460" s="149">
        <f>SUM(J416:J459)</f>
        <v>0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23.25" customHeight="1">
      <c r="B461" s="156"/>
      <c r="C461" s="153"/>
      <c r="D461" s="153"/>
      <c r="E461" s="154">
        <f>SUM(D460,G460,J460)</f>
        <v>0</v>
      </c>
      <c r="F461" s="122"/>
      <c r="G461" s="123"/>
      <c r="H461" s="156"/>
      <c r="I461" s="153"/>
      <c r="J461" s="153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23.25" customHeight="1">
      <c r="A462" s="157"/>
      <c r="B462" s="83" t="s">
        <v>112</v>
      </c>
      <c r="C462" s="85"/>
      <c r="D462" s="86"/>
      <c r="E462" s="83" t="s">
        <v>112</v>
      </c>
      <c r="F462" s="85"/>
      <c r="G462" s="86"/>
      <c r="H462" s="83" t="s">
        <v>112</v>
      </c>
      <c r="I462" s="85"/>
      <c r="J462" s="86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23.25" hidden="1" customHeight="1" outlineLevel="1">
      <c r="A463" s="89"/>
      <c r="B463" s="174"/>
      <c r="C463" s="160"/>
      <c r="D463" s="161"/>
      <c r="E463" s="159"/>
      <c r="F463" s="160"/>
      <c r="G463" s="161"/>
      <c r="H463" s="159"/>
      <c r="I463" s="160"/>
      <c r="J463" s="175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23.25" hidden="1" customHeight="1" outlineLevel="1">
      <c r="A464" s="95"/>
      <c r="B464" s="107"/>
      <c r="C464" s="100"/>
      <c r="D464" s="101"/>
      <c r="E464" s="99"/>
      <c r="F464" s="100"/>
      <c r="G464" s="101"/>
      <c r="H464" s="99"/>
      <c r="I464" s="100"/>
      <c r="J464" s="105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23.25" hidden="1" customHeight="1" outlineLevel="1">
      <c r="A465" s="95"/>
      <c r="B465" s="107"/>
      <c r="C465" s="100"/>
      <c r="D465" s="101"/>
      <c r="E465" s="99"/>
      <c r="F465" s="100"/>
      <c r="G465" s="101"/>
      <c r="H465" s="99"/>
      <c r="I465" s="100"/>
      <c r="J465" s="105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23.25" hidden="1" customHeight="1" outlineLevel="1">
      <c r="A466" s="95"/>
      <c r="B466" s="107"/>
      <c r="C466" s="100"/>
      <c r="D466" s="101"/>
      <c r="E466" s="99"/>
      <c r="F466" s="100"/>
      <c r="G466" s="101"/>
      <c r="H466" s="99"/>
      <c r="I466" s="100"/>
      <c r="J466" s="105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23.25" hidden="1" customHeight="1" outlineLevel="1">
      <c r="A467" s="95"/>
      <c r="B467" s="107"/>
      <c r="C467" s="100"/>
      <c r="D467" s="101"/>
      <c r="E467" s="99"/>
      <c r="F467" s="100"/>
      <c r="G467" s="101"/>
      <c r="H467" s="99"/>
      <c r="I467" s="100"/>
      <c r="J467" s="105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23.25" hidden="1" customHeight="1" outlineLevel="1">
      <c r="A468" s="95"/>
      <c r="B468" s="107"/>
      <c r="C468" s="100"/>
      <c r="D468" s="101"/>
      <c r="E468" s="99"/>
      <c r="F468" s="100"/>
      <c r="G468" s="101"/>
      <c r="H468" s="99"/>
      <c r="I468" s="100"/>
      <c r="J468" s="105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23.25" hidden="1" customHeight="1" outlineLevel="1">
      <c r="A469" s="95"/>
      <c r="B469" s="107"/>
      <c r="C469" s="100"/>
      <c r="D469" s="101"/>
      <c r="E469" s="99"/>
      <c r="F469" s="100"/>
      <c r="G469" s="101"/>
      <c r="H469" s="99"/>
      <c r="I469" s="100"/>
      <c r="J469" s="105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23.25" hidden="1" customHeight="1" outlineLevel="1">
      <c r="A470" s="95"/>
      <c r="B470" s="107"/>
      <c r="C470" s="100"/>
      <c r="D470" s="101"/>
      <c r="E470" s="99"/>
      <c r="F470" s="100"/>
      <c r="G470" s="101"/>
      <c r="H470" s="99"/>
      <c r="I470" s="100"/>
      <c r="J470" s="105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23.25" hidden="1" customHeight="1" outlineLevel="1">
      <c r="A471" s="95"/>
      <c r="B471" s="107"/>
      <c r="C471" s="100"/>
      <c r="D471" s="101"/>
      <c r="E471" s="99"/>
      <c r="F471" s="100"/>
      <c r="G471" s="101"/>
      <c r="H471" s="99"/>
      <c r="I471" s="100"/>
      <c r="J471" s="105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23.25" hidden="1" customHeight="1" outlineLevel="1">
      <c r="A472" s="95"/>
      <c r="B472" s="107"/>
      <c r="C472" s="109"/>
      <c r="D472" s="101"/>
      <c r="E472" s="99"/>
      <c r="F472" s="100"/>
      <c r="G472" s="101"/>
      <c r="H472" s="99"/>
      <c r="I472" s="100"/>
      <c r="J472" s="105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23.25" hidden="1" customHeight="1" outlineLevel="1">
      <c r="A473" s="95"/>
      <c r="B473" s="107"/>
      <c r="C473" s="100"/>
      <c r="D473" s="101"/>
      <c r="E473" s="99"/>
      <c r="F473" s="100"/>
      <c r="G473" s="101"/>
      <c r="H473" s="99"/>
      <c r="I473" s="100"/>
      <c r="J473" s="105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23.25" hidden="1" customHeight="1" outlineLevel="1">
      <c r="A474" s="95"/>
      <c r="B474" s="107"/>
      <c r="C474" s="100"/>
      <c r="D474" s="101"/>
      <c r="E474" s="99"/>
      <c r="F474" s="100"/>
      <c r="G474" s="101"/>
      <c r="H474" s="99"/>
      <c r="I474" s="100"/>
      <c r="J474" s="105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23.25" hidden="1" customHeight="1" outlineLevel="1">
      <c r="A475" s="95"/>
      <c r="B475" s="107"/>
      <c r="C475" s="100"/>
      <c r="D475" s="101"/>
      <c r="E475" s="99"/>
      <c r="F475" s="100"/>
      <c r="G475" s="101"/>
      <c r="H475" s="99"/>
      <c r="I475" s="100"/>
      <c r="J475" s="105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23.25" hidden="1" customHeight="1" outlineLevel="1">
      <c r="A476" s="95"/>
      <c r="B476" s="107"/>
      <c r="C476" s="100"/>
      <c r="D476" s="101"/>
      <c r="E476" s="99"/>
      <c r="F476" s="100"/>
      <c r="G476" s="101"/>
      <c r="H476" s="99"/>
      <c r="I476" s="100"/>
      <c r="J476" s="105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23.25" hidden="1" customHeight="1" outlineLevel="1">
      <c r="A477" s="95"/>
      <c r="B477" s="107"/>
      <c r="C477" s="100"/>
      <c r="D477" s="101"/>
      <c r="E477" s="99"/>
      <c r="F477" s="100"/>
      <c r="G477" s="101"/>
      <c r="H477" s="99"/>
      <c r="I477" s="100"/>
      <c r="J477" s="105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23.25" hidden="1" customHeight="1" outlineLevel="1">
      <c r="A478" s="95"/>
      <c r="B478" s="107"/>
      <c r="C478" s="100"/>
      <c r="D478" s="101"/>
      <c r="E478" s="99"/>
      <c r="F478" s="100"/>
      <c r="G478" s="101"/>
      <c r="H478" s="99"/>
      <c r="I478" s="100"/>
      <c r="J478" s="105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23.25" hidden="1" customHeight="1" outlineLevel="1">
      <c r="A479" s="95"/>
      <c r="B479" s="107"/>
      <c r="C479" s="100"/>
      <c r="D479" s="101"/>
      <c r="E479" s="99"/>
      <c r="F479" s="100"/>
      <c r="G479" s="101"/>
      <c r="H479" s="99"/>
      <c r="I479" s="100"/>
      <c r="J479" s="105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23.25" hidden="1" customHeight="1" outlineLevel="1">
      <c r="A480" s="95"/>
      <c r="B480" s="107"/>
      <c r="C480" s="100"/>
      <c r="D480" s="101"/>
      <c r="E480" s="99"/>
      <c r="F480" s="100"/>
      <c r="G480" s="101"/>
      <c r="H480" s="99"/>
      <c r="I480" s="100"/>
      <c r="J480" s="105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23.25" hidden="1" customHeight="1" outlineLevel="1">
      <c r="A481" s="95"/>
      <c r="B481" s="107"/>
      <c r="C481" s="100"/>
      <c r="D481" s="101"/>
      <c r="E481" s="99"/>
      <c r="F481" s="100"/>
      <c r="G481" s="101"/>
      <c r="H481" s="99"/>
      <c r="I481" s="100"/>
      <c r="J481" s="105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23.25" hidden="1" customHeight="1" outlineLevel="1">
      <c r="A482" s="95"/>
      <c r="B482" s="107"/>
      <c r="C482" s="100"/>
      <c r="D482" s="101"/>
      <c r="E482" s="99"/>
      <c r="F482" s="100"/>
      <c r="G482" s="101"/>
      <c r="H482" s="99"/>
      <c r="I482" s="100"/>
      <c r="J482" s="105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23.25" hidden="1" customHeight="1" outlineLevel="1">
      <c r="A483" s="95"/>
      <c r="B483" s="107"/>
      <c r="C483" s="100"/>
      <c r="D483" s="101"/>
      <c r="E483" s="99"/>
      <c r="F483" s="100"/>
      <c r="G483" s="101"/>
      <c r="H483" s="99"/>
      <c r="I483" s="100"/>
      <c r="J483" s="105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23.25" hidden="1" customHeight="1" outlineLevel="1">
      <c r="A484" s="95"/>
      <c r="B484" s="107"/>
      <c r="C484" s="100"/>
      <c r="D484" s="101"/>
      <c r="E484" s="99"/>
      <c r="F484" s="100"/>
      <c r="G484" s="101"/>
      <c r="H484" s="99"/>
      <c r="I484" s="100"/>
      <c r="J484" s="105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23.25" hidden="1" customHeight="1" outlineLevel="1">
      <c r="A485" s="95"/>
      <c r="B485" s="107"/>
      <c r="C485" s="100"/>
      <c r="D485" s="101"/>
      <c r="E485" s="99"/>
      <c r="F485" s="100"/>
      <c r="G485" s="101"/>
      <c r="H485" s="99"/>
      <c r="I485" s="100"/>
      <c r="J485" s="105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23.25" hidden="1" customHeight="1" outlineLevel="1">
      <c r="A486" s="95"/>
      <c r="B486" s="107"/>
      <c r="C486" s="100"/>
      <c r="D486" s="101"/>
      <c r="E486" s="99"/>
      <c r="F486" s="100"/>
      <c r="G486" s="101"/>
      <c r="H486" s="99"/>
      <c r="I486" s="100"/>
      <c r="J486" s="105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23.25" hidden="1" customHeight="1" outlineLevel="1">
      <c r="A487" s="95"/>
      <c r="B487" s="107"/>
      <c r="C487" s="100"/>
      <c r="D487" s="101"/>
      <c r="E487" s="99"/>
      <c r="F487" s="100"/>
      <c r="G487" s="101"/>
      <c r="H487" s="99"/>
      <c r="I487" s="100"/>
      <c r="J487" s="105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23.25" hidden="1" customHeight="1" outlineLevel="1">
      <c r="A488" s="95"/>
      <c r="B488" s="107"/>
      <c r="C488" s="100"/>
      <c r="D488" s="101"/>
      <c r="E488" s="99"/>
      <c r="F488" s="100"/>
      <c r="G488" s="101"/>
      <c r="H488" s="99"/>
      <c r="I488" s="100"/>
      <c r="J488" s="105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23.25" hidden="1" customHeight="1" outlineLevel="1">
      <c r="A489" s="95"/>
      <c r="B489" s="107"/>
      <c r="C489" s="100"/>
      <c r="D489" s="101"/>
      <c r="E489" s="99"/>
      <c r="F489" s="100"/>
      <c r="G489" s="101"/>
      <c r="H489" s="99"/>
      <c r="I489" s="100"/>
      <c r="J489" s="105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23.25" hidden="1" customHeight="1" outlineLevel="1">
      <c r="A490" s="95"/>
      <c r="B490" s="107"/>
      <c r="C490" s="100"/>
      <c r="D490" s="101"/>
      <c r="E490" s="99"/>
      <c r="F490" s="100"/>
      <c r="G490" s="101"/>
      <c r="H490" s="99"/>
      <c r="I490" s="100"/>
      <c r="J490" s="105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23.25" hidden="1" customHeight="1" outlineLevel="1">
      <c r="A491" s="95"/>
      <c r="B491" s="107"/>
      <c r="C491" s="100"/>
      <c r="D491" s="101"/>
      <c r="E491" s="99"/>
      <c r="F491" s="100"/>
      <c r="G491" s="101"/>
      <c r="H491" s="99"/>
      <c r="I491" s="100"/>
      <c r="J491" s="105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23.25" hidden="1" customHeight="1" outlineLevel="1">
      <c r="A492" s="95"/>
      <c r="B492" s="107"/>
      <c r="C492" s="100"/>
      <c r="D492" s="101"/>
      <c r="E492" s="99"/>
      <c r="F492" s="100"/>
      <c r="G492" s="101"/>
      <c r="H492" s="99"/>
      <c r="I492" s="100"/>
      <c r="J492" s="105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23.25" hidden="1" customHeight="1" outlineLevel="1">
      <c r="A493" s="95"/>
      <c r="B493" s="107"/>
      <c r="C493" s="100"/>
      <c r="D493" s="101"/>
      <c r="E493" s="99"/>
      <c r="F493" s="100"/>
      <c r="G493" s="101"/>
      <c r="H493" s="99"/>
      <c r="I493" s="100"/>
      <c r="J493" s="105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23.25" hidden="1" customHeight="1" outlineLevel="1">
      <c r="A494" s="95"/>
      <c r="B494" s="107"/>
      <c r="C494" s="100"/>
      <c r="D494" s="101"/>
      <c r="E494" s="99"/>
      <c r="F494" s="100"/>
      <c r="G494" s="101"/>
      <c r="H494" s="99"/>
      <c r="I494" s="100"/>
      <c r="J494" s="105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23.25" hidden="1" customHeight="1" outlineLevel="1">
      <c r="A495" s="95"/>
      <c r="B495" s="107"/>
      <c r="C495" s="100"/>
      <c r="D495" s="101"/>
      <c r="E495" s="99"/>
      <c r="F495" s="100"/>
      <c r="G495" s="101"/>
      <c r="H495" s="99"/>
      <c r="I495" s="100"/>
      <c r="J495" s="105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23.25" hidden="1" customHeight="1" outlineLevel="1">
      <c r="A496" s="95"/>
      <c r="B496" s="107"/>
      <c r="C496" s="100"/>
      <c r="D496" s="101"/>
      <c r="E496" s="99"/>
      <c r="F496" s="100"/>
      <c r="G496" s="101"/>
      <c r="H496" s="99"/>
      <c r="I496" s="100"/>
      <c r="J496" s="105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23.25" hidden="1" customHeight="1" outlineLevel="1">
      <c r="A497" s="95"/>
      <c r="B497" s="107"/>
      <c r="C497" s="100"/>
      <c r="D497" s="101"/>
      <c r="E497" s="99"/>
      <c r="F497" s="100"/>
      <c r="G497" s="101"/>
      <c r="H497" s="99"/>
      <c r="I497" s="100"/>
      <c r="J497" s="105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23.25" hidden="1" customHeight="1" outlineLevel="1">
      <c r="A498" s="95"/>
      <c r="B498" s="107"/>
      <c r="C498" s="100"/>
      <c r="D498" s="101"/>
      <c r="E498" s="99"/>
      <c r="F498" s="100"/>
      <c r="G498" s="101"/>
      <c r="H498" s="99"/>
      <c r="I498" s="100"/>
      <c r="J498" s="105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23.25" hidden="1" customHeight="1" outlineLevel="1">
      <c r="A499" s="95"/>
      <c r="B499" s="107"/>
      <c r="C499" s="100"/>
      <c r="D499" s="101"/>
      <c r="E499" s="99"/>
      <c r="F499" s="100"/>
      <c r="G499" s="101"/>
      <c r="H499" s="99"/>
      <c r="I499" s="100"/>
      <c r="J499" s="105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23.25" hidden="1" customHeight="1" outlineLevel="1">
      <c r="A500" s="95"/>
      <c r="B500" s="107"/>
      <c r="C500" s="100"/>
      <c r="D500" s="101"/>
      <c r="E500" s="99"/>
      <c r="F500" s="100"/>
      <c r="G500" s="101"/>
      <c r="H500" s="99"/>
      <c r="I500" s="100"/>
      <c r="J500" s="105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23.25" hidden="1" customHeight="1" outlineLevel="1">
      <c r="A501" s="95"/>
      <c r="B501" s="107"/>
      <c r="C501" s="100"/>
      <c r="D501" s="101"/>
      <c r="E501" s="99"/>
      <c r="F501" s="100"/>
      <c r="G501" s="101"/>
      <c r="H501" s="99"/>
      <c r="I501" s="100"/>
      <c r="J501" s="105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23.25" hidden="1" customHeight="1" outlineLevel="1">
      <c r="A502" s="95"/>
      <c r="B502" s="107"/>
      <c r="C502" s="100"/>
      <c r="D502" s="101"/>
      <c r="E502" s="99"/>
      <c r="F502" s="100"/>
      <c r="G502" s="101"/>
      <c r="H502" s="99"/>
      <c r="I502" s="100"/>
      <c r="J502" s="105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23.25" hidden="1" customHeight="1" outlineLevel="1">
      <c r="A503" s="95"/>
      <c r="B503" s="107"/>
      <c r="C503" s="100"/>
      <c r="D503" s="101"/>
      <c r="E503" s="99"/>
      <c r="F503" s="100"/>
      <c r="G503" s="101"/>
      <c r="H503" s="99"/>
      <c r="I503" s="100"/>
      <c r="J503" s="105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23.25" hidden="1" customHeight="1" outlineLevel="1">
      <c r="A504" s="95"/>
      <c r="B504" s="107"/>
      <c r="C504" s="100"/>
      <c r="D504" s="101"/>
      <c r="E504" s="99"/>
      <c r="F504" s="100"/>
      <c r="G504" s="101"/>
      <c r="H504" s="99"/>
      <c r="I504" s="100"/>
      <c r="J504" s="105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23.25" hidden="1" customHeight="1" outlineLevel="1">
      <c r="A505" s="95"/>
      <c r="B505" s="107"/>
      <c r="C505" s="100"/>
      <c r="D505" s="101"/>
      <c r="E505" s="99"/>
      <c r="F505" s="100"/>
      <c r="G505" s="101"/>
      <c r="H505" s="99"/>
      <c r="I505" s="100"/>
      <c r="J505" s="105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23.25" hidden="1" customHeight="1" outlineLevel="1">
      <c r="A506" s="132"/>
      <c r="B506" s="134"/>
      <c r="C506" s="136"/>
      <c r="D506" s="137"/>
      <c r="E506" s="139"/>
      <c r="F506" s="136"/>
      <c r="G506" s="137"/>
      <c r="H506" s="139"/>
      <c r="I506" s="136"/>
      <c r="J506" s="141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23.25" customHeight="1" collapsed="1">
      <c r="A507" s="143"/>
      <c r="B507" s="146" t="s">
        <v>57</v>
      </c>
      <c r="C507" s="148"/>
      <c r="D507" s="149">
        <f>SUM(D463:D506)</f>
        <v>0</v>
      </c>
      <c r="E507" s="146" t="s">
        <v>57</v>
      </c>
      <c r="F507" s="148"/>
      <c r="G507" s="149">
        <f>SUM(G463:G506)</f>
        <v>0</v>
      </c>
      <c r="H507" s="146" t="s">
        <v>57</v>
      </c>
      <c r="I507" s="148"/>
      <c r="J507" s="149">
        <f>SUM(J463:J506)</f>
        <v>0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23.25" customHeight="1">
      <c r="B508" s="156"/>
      <c r="C508" s="153"/>
      <c r="D508" s="153"/>
      <c r="E508" s="154">
        <f>SUM(D507,G507,J507)</f>
        <v>0</v>
      </c>
      <c r="F508" s="122"/>
      <c r="G508" s="123"/>
      <c r="H508" s="156"/>
      <c r="I508" s="153"/>
      <c r="J508" s="153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23.25" customHeight="1">
      <c r="A509" s="157"/>
      <c r="B509" s="83" t="s">
        <v>115</v>
      </c>
      <c r="C509" s="85"/>
      <c r="D509" s="86"/>
      <c r="E509" s="83" t="s">
        <v>115</v>
      </c>
      <c r="F509" s="85"/>
      <c r="G509" s="86"/>
      <c r="H509" s="83" t="s">
        <v>115</v>
      </c>
      <c r="I509" s="85"/>
      <c r="J509" s="86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23.25" hidden="1" customHeight="1" outlineLevel="1">
      <c r="A510" s="89"/>
      <c r="B510" s="174"/>
      <c r="C510" s="160"/>
      <c r="D510" s="161"/>
      <c r="E510" s="159"/>
      <c r="F510" s="160"/>
      <c r="G510" s="161"/>
      <c r="H510" s="159"/>
      <c r="I510" s="160"/>
      <c r="J510" s="175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23.25" hidden="1" customHeight="1" outlineLevel="1">
      <c r="A511" s="95"/>
      <c r="B511" s="107"/>
      <c r="C511" s="100"/>
      <c r="D511" s="101"/>
      <c r="E511" s="99"/>
      <c r="F511" s="100"/>
      <c r="G511" s="101"/>
      <c r="H511" s="99"/>
      <c r="I511" s="100"/>
      <c r="J511" s="105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23.25" hidden="1" customHeight="1" outlineLevel="1">
      <c r="A512" s="95"/>
      <c r="B512" s="107"/>
      <c r="C512" s="100"/>
      <c r="D512" s="101"/>
      <c r="E512" s="99"/>
      <c r="F512" s="100"/>
      <c r="G512" s="101"/>
      <c r="H512" s="99"/>
      <c r="I512" s="100"/>
      <c r="J512" s="105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23.25" hidden="1" customHeight="1" outlineLevel="1">
      <c r="A513" s="95"/>
      <c r="B513" s="107"/>
      <c r="C513" s="100"/>
      <c r="D513" s="101"/>
      <c r="E513" s="99"/>
      <c r="F513" s="100"/>
      <c r="G513" s="101"/>
      <c r="H513" s="99"/>
      <c r="I513" s="100"/>
      <c r="J513" s="105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23.25" hidden="1" customHeight="1" outlineLevel="1">
      <c r="A514" s="95"/>
      <c r="B514" s="107"/>
      <c r="C514" s="100"/>
      <c r="D514" s="101"/>
      <c r="E514" s="99"/>
      <c r="F514" s="100"/>
      <c r="G514" s="101"/>
      <c r="H514" s="99"/>
      <c r="I514" s="100"/>
      <c r="J514" s="105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23.25" hidden="1" customHeight="1" outlineLevel="1">
      <c r="A515" s="95"/>
      <c r="B515" s="107"/>
      <c r="C515" s="100"/>
      <c r="D515" s="101"/>
      <c r="E515" s="99"/>
      <c r="F515" s="100"/>
      <c r="G515" s="101"/>
      <c r="H515" s="99"/>
      <c r="I515" s="100"/>
      <c r="J515" s="105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23.25" hidden="1" customHeight="1" outlineLevel="1">
      <c r="A516" s="95"/>
      <c r="B516" s="107"/>
      <c r="C516" s="100"/>
      <c r="D516" s="101"/>
      <c r="E516" s="99"/>
      <c r="F516" s="100"/>
      <c r="G516" s="101"/>
      <c r="H516" s="99"/>
      <c r="I516" s="100"/>
      <c r="J516" s="105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23.25" hidden="1" customHeight="1" outlineLevel="1">
      <c r="A517" s="95"/>
      <c r="B517" s="107"/>
      <c r="C517" s="100"/>
      <c r="D517" s="101"/>
      <c r="E517" s="99"/>
      <c r="F517" s="100"/>
      <c r="G517" s="101"/>
      <c r="H517" s="99"/>
      <c r="I517" s="100"/>
      <c r="J517" s="105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23.25" hidden="1" customHeight="1" outlineLevel="1">
      <c r="A518" s="95"/>
      <c r="B518" s="107"/>
      <c r="C518" s="100"/>
      <c r="D518" s="101"/>
      <c r="E518" s="99"/>
      <c r="F518" s="100"/>
      <c r="G518" s="101"/>
      <c r="H518" s="99"/>
      <c r="I518" s="100"/>
      <c r="J518" s="105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23.25" hidden="1" customHeight="1" outlineLevel="1">
      <c r="A519" s="95"/>
      <c r="B519" s="107"/>
      <c r="C519" s="109"/>
      <c r="D519" s="101"/>
      <c r="E519" s="99"/>
      <c r="F519" s="100"/>
      <c r="G519" s="101"/>
      <c r="H519" s="99"/>
      <c r="I519" s="100"/>
      <c r="J519" s="105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23.25" hidden="1" customHeight="1" outlineLevel="1">
      <c r="A520" s="95"/>
      <c r="B520" s="107"/>
      <c r="C520" s="100"/>
      <c r="D520" s="101"/>
      <c r="E520" s="99"/>
      <c r="F520" s="100"/>
      <c r="G520" s="101"/>
      <c r="H520" s="99"/>
      <c r="I520" s="100"/>
      <c r="J520" s="105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23.25" hidden="1" customHeight="1" outlineLevel="1">
      <c r="A521" s="95"/>
      <c r="B521" s="107"/>
      <c r="C521" s="100"/>
      <c r="D521" s="101"/>
      <c r="E521" s="99"/>
      <c r="F521" s="100"/>
      <c r="G521" s="101"/>
      <c r="H521" s="99"/>
      <c r="I521" s="100"/>
      <c r="J521" s="105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23.25" hidden="1" customHeight="1" outlineLevel="1">
      <c r="A522" s="95"/>
      <c r="B522" s="107"/>
      <c r="C522" s="100"/>
      <c r="D522" s="101"/>
      <c r="E522" s="99"/>
      <c r="F522" s="100"/>
      <c r="G522" s="101"/>
      <c r="H522" s="99"/>
      <c r="I522" s="100"/>
      <c r="J522" s="105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23.25" hidden="1" customHeight="1" outlineLevel="1">
      <c r="A523" s="95"/>
      <c r="B523" s="107"/>
      <c r="C523" s="100"/>
      <c r="D523" s="101"/>
      <c r="E523" s="99"/>
      <c r="F523" s="100"/>
      <c r="G523" s="101"/>
      <c r="H523" s="99"/>
      <c r="I523" s="100"/>
      <c r="J523" s="105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23.25" hidden="1" customHeight="1" outlineLevel="1">
      <c r="A524" s="95"/>
      <c r="B524" s="107"/>
      <c r="C524" s="100"/>
      <c r="D524" s="101"/>
      <c r="E524" s="99"/>
      <c r="F524" s="100"/>
      <c r="G524" s="101"/>
      <c r="H524" s="99"/>
      <c r="I524" s="100"/>
      <c r="J524" s="105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23.25" hidden="1" customHeight="1" outlineLevel="1">
      <c r="A525" s="95"/>
      <c r="B525" s="107"/>
      <c r="C525" s="100"/>
      <c r="D525" s="101"/>
      <c r="E525" s="99"/>
      <c r="F525" s="100"/>
      <c r="G525" s="101"/>
      <c r="H525" s="99"/>
      <c r="I525" s="100"/>
      <c r="J525" s="105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23.25" hidden="1" customHeight="1" outlineLevel="1">
      <c r="A526" s="95"/>
      <c r="B526" s="107"/>
      <c r="C526" s="100"/>
      <c r="D526" s="101"/>
      <c r="E526" s="99"/>
      <c r="F526" s="100"/>
      <c r="G526" s="101"/>
      <c r="H526" s="99"/>
      <c r="I526" s="100"/>
      <c r="J526" s="105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23.25" hidden="1" customHeight="1" outlineLevel="1">
      <c r="A527" s="95"/>
      <c r="B527" s="107"/>
      <c r="C527" s="100"/>
      <c r="D527" s="101"/>
      <c r="E527" s="99"/>
      <c r="F527" s="100"/>
      <c r="G527" s="101"/>
      <c r="H527" s="99"/>
      <c r="I527" s="100"/>
      <c r="J527" s="105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23.25" hidden="1" customHeight="1" outlineLevel="1">
      <c r="A528" s="95"/>
      <c r="B528" s="107"/>
      <c r="C528" s="100"/>
      <c r="D528" s="101"/>
      <c r="E528" s="99"/>
      <c r="F528" s="100"/>
      <c r="G528" s="101"/>
      <c r="H528" s="99"/>
      <c r="I528" s="100"/>
      <c r="J528" s="105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23.25" hidden="1" customHeight="1" outlineLevel="1">
      <c r="A529" s="95"/>
      <c r="B529" s="107"/>
      <c r="C529" s="100"/>
      <c r="D529" s="101"/>
      <c r="E529" s="99"/>
      <c r="F529" s="100"/>
      <c r="G529" s="101"/>
      <c r="H529" s="99"/>
      <c r="I529" s="100"/>
      <c r="J529" s="105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23.25" hidden="1" customHeight="1" outlineLevel="1">
      <c r="A530" s="95"/>
      <c r="B530" s="107"/>
      <c r="C530" s="100"/>
      <c r="D530" s="101"/>
      <c r="E530" s="99"/>
      <c r="F530" s="100"/>
      <c r="G530" s="101"/>
      <c r="H530" s="99"/>
      <c r="I530" s="100"/>
      <c r="J530" s="105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23.25" hidden="1" customHeight="1" outlineLevel="1">
      <c r="A531" s="95"/>
      <c r="B531" s="107"/>
      <c r="C531" s="100"/>
      <c r="D531" s="101"/>
      <c r="E531" s="99"/>
      <c r="F531" s="100"/>
      <c r="G531" s="101"/>
      <c r="H531" s="99"/>
      <c r="I531" s="100"/>
      <c r="J531" s="105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23.25" hidden="1" customHeight="1" outlineLevel="1">
      <c r="A532" s="95"/>
      <c r="B532" s="107"/>
      <c r="C532" s="100"/>
      <c r="D532" s="101"/>
      <c r="E532" s="99"/>
      <c r="F532" s="100"/>
      <c r="G532" s="101"/>
      <c r="H532" s="99"/>
      <c r="I532" s="100"/>
      <c r="J532" s="105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23.25" hidden="1" customHeight="1" outlineLevel="1">
      <c r="A533" s="95"/>
      <c r="B533" s="107"/>
      <c r="C533" s="100"/>
      <c r="D533" s="101"/>
      <c r="E533" s="99"/>
      <c r="F533" s="100"/>
      <c r="G533" s="101"/>
      <c r="H533" s="99"/>
      <c r="I533" s="100"/>
      <c r="J533" s="105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23.25" hidden="1" customHeight="1" outlineLevel="1">
      <c r="A534" s="95"/>
      <c r="B534" s="107"/>
      <c r="C534" s="100"/>
      <c r="D534" s="101"/>
      <c r="E534" s="99"/>
      <c r="F534" s="100"/>
      <c r="G534" s="101"/>
      <c r="H534" s="99"/>
      <c r="I534" s="100"/>
      <c r="J534" s="105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23.25" hidden="1" customHeight="1" outlineLevel="1">
      <c r="A535" s="95"/>
      <c r="B535" s="107"/>
      <c r="C535" s="100"/>
      <c r="D535" s="101"/>
      <c r="E535" s="99"/>
      <c r="F535" s="100"/>
      <c r="G535" s="101"/>
      <c r="H535" s="99"/>
      <c r="I535" s="100"/>
      <c r="J535" s="105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23.25" hidden="1" customHeight="1" outlineLevel="1">
      <c r="A536" s="95"/>
      <c r="B536" s="107"/>
      <c r="C536" s="100"/>
      <c r="D536" s="101"/>
      <c r="E536" s="99"/>
      <c r="F536" s="100"/>
      <c r="G536" s="101"/>
      <c r="H536" s="99"/>
      <c r="I536" s="100"/>
      <c r="J536" s="105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23.25" hidden="1" customHeight="1" outlineLevel="1">
      <c r="A537" s="95"/>
      <c r="B537" s="107"/>
      <c r="C537" s="100"/>
      <c r="D537" s="101"/>
      <c r="E537" s="99"/>
      <c r="F537" s="100"/>
      <c r="G537" s="101"/>
      <c r="H537" s="99"/>
      <c r="I537" s="100"/>
      <c r="J537" s="105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23.25" hidden="1" customHeight="1" outlineLevel="1">
      <c r="A538" s="95"/>
      <c r="B538" s="107"/>
      <c r="C538" s="100"/>
      <c r="D538" s="101"/>
      <c r="E538" s="99"/>
      <c r="F538" s="100"/>
      <c r="G538" s="101"/>
      <c r="H538" s="99"/>
      <c r="I538" s="100"/>
      <c r="J538" s="105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23.25" hidden="1" customHeight="1" outlineLevel="1">
      <c r="A539" s="95"/>
      <c r="B539" s="107"/>
      <c r="C539" s="100"/>
      <c r="D539" s="101"/>
      <c r="E539" s="99"/>
      <c r="F539" s="100"/>
      <c r="G539" s="101"/>
      <c r="H539" s="99"/>
      <c r="I539" s="100"/>
      <c r="J539" s="105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23.25" hidden="1" customHeight="1" outlineLevel="1">
      <c r="A540" s="95"/>
      <c r="B540" s="107"/>
      <c r="C540" s="100"/>
      <c r="D540" s="101"/>
      <c r="E540" s="99"/>
      <c r="F540" s="100"/>
      <c r="G540" s="101"/>
      <c r="H540" s="99"/>
      <c r="I540" s="100"/>
      <c r="J540" s="105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23.25" hidden="1" customHeight="1" outlineLevel="1">
      <c r="A541" s="95"/>
      <c r="B541" s="107"/>
      <c r="C541" s="100"/>
      <c r="D541" s="101"/>
      <c r="E541" s="99"/>
      <c r="F541" s="100"/>
      <c r="G541" s="101"/>
      <c r="H541" s="99"/>
      <c r="I541" s="100"/>
      <c r="J541" s="105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23.25" hidden="1" customHeight="1" outlineLevel="1">
      <c r="A542" s="95"/>
      <c r="B542" s="107"/>
      <c r="C542" s="100"/>
      <c r="D542" s="101"/>
      <c r="E542" s="99"/>
      <c r="F542" s="100"/>
      <c r="G542" s="101"/>
      <c r="H542" s="99"/>
      <c r="I542" s="100"/>
      <c r="J542" s="105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23.25" hidden="1" customHeight="1" outlineLevel="1">
      <c r="A543" s="95"/>
      <c r="B543" s="107"/>
      <c r="C543" s="100"/>
      <c r="D543" s="101"/>
      <c r="E543" s="99"/>
      <c r="F543" s="100"/>
      <c r="G543" s="101"/>
      <c r="H543" s="99"/>
      <c r="I543" s="100"/>
      <c r="J543" s="105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23.25" hidden="1" customHeight="1" outlineLevel="1">
      <c r="A544" s="95"/>
      <c r="B544" s="107"/>
      <c r="C544" s="100"/>
      <c r="D544" s="101"/>
      <c r="E544" s="99"/>
      <c r="F544" s="100"/>
      <c r="G544" s="101"/>
      <c r="H544" s="99"/>
      <c r="I544" s="100"/>
      <c r="J544" s="105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23.25" hidden="1" customHeight="1" outlineLevel="1">
      <c r="A545" s="95"/>
      <c r="B545" s="107"/>
      <c r="C545" s="100"/>
      <c r="D545" s="101"/>
      <c r="E545" s="99"/>
      <c r="F545" s="100"/>
      <c r="G545" s="101"/>
      <c r="H545" s="99"/>
      <c r="I545" s="100"/>
      <c r="J545" s="105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23.25" hidden="1" customHeight="1" outlineLevel="1">
      <c r="A546" s="95"/>
      <c r="B546" s="107"/>
      <c r="C546" s="100"/>
      <c r="D546" s="101"/>
      <c r="E546" s="99"/>
      <c r="F546" s="100"/>
      <c r="G546" s="101"/>
      <c r="H546" s="99"/>
      <c r="I546" s="100"/>
      <c r="J546" s="105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23.25" hidden="1" customHeight="1" outlineLevel="1">
      <c r="A547" s="95"/>
      <c r="B547" s="107"/>
      <c r="C547" s="100"/>
      <c r="D547" s="101"/>
      <c r="E547" s="99"/>
      <c r="F547" s="100"/>
      <c r="G547" s="101"/>
      <c r="H547" s="99"/>
      <c r="I547" s="100"/>
      <c r="J547" s="105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23.25" hidden="1" customHeight="1" outlineLevel="1">
      <c r="A548" s="95"/>
      <c r="B548" s="107"/>
      <c r="C548" s="100"/>
      <c r="D548" s="101"/>
      <c r="E548" s="99"/>
      <c r="F548" s="100"/>
      <c r="G548" s="101"/>
      <c r="H548" s="99"/>
      <c r="I548" s="100"/>
      <c r="J548" s="105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23.25" hidden="1" customHeight="1" outlineLevel="1">
      <c r="A549" s="95"/>
      <c r="B549" s="107"/>
      <c r="C549" s="100"/>
      <c r="D549" s="101"/>
      <c r="E549" s="99"/>
      <c r="F549" s="100"/>
      <c r="G549" s="101"/>
      <c r="H549" s="99"/>
      <c r="I549" s="100"/>
      <c r="J549" s="105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23.25" hidden="1" customHeight="1" outlineLevel="1">
      <c r="A550" s="95"/>
      <c r="B550" s="107"/>
      <c r="C550" s="100"/>
      <c r="D550" s="101"/>
      <c r="E550" s="99"/>
      <c r="F550" s="100"/>
      <c r="G550" s="101"/>
      <c r="H550" s="99"/>
      <c r="I550" s="100"/>
      <c r="J550" s="105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23.25" hidden="1" customHeight="1" outlineLevel="1">
      <c r="A551" s="95"/>
      <c r="B551" s="107"/>
      <c r="C551" s="100"/>
      <c r="D551" s="101"/>
      <c r="E551" s="99"/>
      <c r="F551" s="100"/>
      <c r="G551" s="101"/>
      <c r="H551" s="99"/>
      <c r="I551" s="100"/>
      <c r="J551" s="105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23.25" hidden="1" customHeight="1" outlineLevel="1">
      <c r="A552" s="95"/>
      <c r="B552" s="107"/>
      <c r="C552" s="100"/>
      <c r="D552" s="101"/>
      <c r="E552" s="99"/>
      <c r="F552" s="100"/>
      <c r="G552" s="101"/>
      <c r="H552" s="99"/>
      <c r="I552" s="100"/>
      <c r="J552" s="105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23.25" hidden="1" customHeight="1" outlineLevel="1">
      <c r="A553" s="132"/>
      <c r="B553" s="134"/>
      <c r="C553" s="136"/>
      <c r="D553" s="137"/>
      <c r="E553" s="139"/>
      <c r="F553" s="136"/>
      <c r="G553" s="137"/>
      <c r="H553" s="139"/>
      <c r="I553" s="136"/>
      <c r="J553" s="141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23.25" customHeight="1" collapsed="1">
      <c r="A554" s="236"/>
      <c r="B554" s="146" t="s">
        <v>57</v>
      </c>
      <c r="C554" s="148"/>
      <c r="D554" s="149">
        <f>SUM(D510:D553)</f>
        <v>0</v>
      </c>
      <c r="E554" s="146" t="s">
        <v>57</v>
      </c>
      <c r="F554" s="148"/>
      <c r="G554" s="149">
        <f>SUM(G510:G553)</f>
        <v>0</v>
      </c>
      <c r="H554" s="146" t="s">
        <v>57</v>
      </c>
      <c r="I554" s="148"/>
      <c r="J554" s="149">
        <f>SUM(J510:J553)</f>
        <v>0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23.25" customHeight="1">
      <c r="A555" s="236"/>
      <c r="B555" s="156"/>
      <c r="C555" s="153"/>
      <c r="D555" s="153"/>
      <c r="E555" s="154">
        <f>SUM(D554,G554,J554)</f>
        <v>0</v>
      </c>
      <c r="F555" s="122"/>
      <c r="G555" s="123"/>
      <c r="H555" s="156"/>
      <c r="I555" s="153"/>
      <c r="J555" s="153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23.25" customHeight="1">
      <c r="A556" s="240"/>
      <c r="B556" s="241"/>
      <c r="C556" s="243"/>
      <c r="D556" s="243"/>
      <c r="E556" s="241"/>
      <c r="F556" s="243"/>
      <c r="G556" s="243"/>
      <c r="H556" s="241"/>
      <c r="I556" s="243"/>
      <c r="J556" s="243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23.25" customHeight="1">
      <c r="A557" s="244"/>
      <c r="B557" s="245"/>
      <c r="E557" s="245"/>
      <c r="H557" s="245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23.25" customHeight="1">
      <c r="A558" s="244"/>
      <c r="B558" s="245"/>
      <c r="E558" s="245"/>
      <c r="H558" s="245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23.25" customHeight="1">
      <c r="A559" s="244"/>
      <c r="B559" s="245"/>
      <c r="E559" s="245"/>
      <c r="H559" s="245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23.25" customHeight="1">
      <c r="A560" s="244"/>
      <c r="B560" s="245"/>
      <c r="E560" s="245"/>
      <c r="H560" s="245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23.25" customHeight="1">
      <c r="A561" s="244"/>
      <c r="B561" s="245"/>
      <c r="E561" s="245"/>
      <c r="H561" s="245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23.25" customHeight="1">
      <c r="A562" s="244"/>
      <c r="B562" s="245"/>
      <c r="E562" s="245"/>
      <c r="H562" s="245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23.25" customHeight="1">
      <c r="A563" s="244"/>
      <c r="B563" s="245"/>
      <c r="E563" s="245"/>
      <c r="H563" s="245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23.25" customHeight="1">
      <c r="A564" s="244"/>
      <c r="B564" s="245"/>
      <c r="E564" s="245"/>
      <c r="H564" s="245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23.25" customHeight="1">
      <c r="A565" s="244"/>
      <c r="B565" s="245"/>
      <c r="E565" s="245"/>
      <c r="H565" s="245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23.25" customHeight="1">
      <c r="A566" s="244"/>
      <c r="B566" s="245"/>
      <c r="E566" s="245"/>
      <c r="H566" s="245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23.25" customHeight="1">
      <c r="A567" s="244"/>
      <c r="B567" s="245"/>
      <c r="E567" s="245"/>
      <c r="H567" s="245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23.25" customHeight="1">
      <c r="A568" s="244"/>
      <c r="B568" s="245"/>
      <c r="E568" s="245"/>
      <c r="H568" s="245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23.25" customHeight="1">
      <c r="A569" s="244"/>
      <c r="B569" s="245"/>
      <c r="E569" s="245"/>
      <c r="H569" s="245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23.25" customHeight="1">
      <c r="A570" s="244"/>
      <c r="B570" s="245"/>
      <c r="E570" s="245"/>
      <c r="H570" s="245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23.25" customHeight="1">
      <c r="A571" s="244"/>
      <c r="B571" s="245"/>
      <c r="E571" s="245"/>
      <c r="H571" s="245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23.25" customHeight="1">
      <c r="A572" s="244"/>
      <c r="B572" s="245"/>
      <c r="E572" s="245"/>
      <c r="H572" s="245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23.25" customHeight="1">
      <c r="A573" s="244"/>
      <c r="B573" s="245"/>
      <c r="E573" s="245"/>
      <c r="H573" s="245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23.25" customHeight="1">
      <c r="A574" s="244"/>
      <c r="B574" s="245"/>
      <c r="E574" s="245"/>
      <c r="H574" s="245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23.25" customHeight="1">
      <c r="A575" s="244"/>
      <c r="B575" s="245"/>
      <c r="E575" s="245"/>
      <c r="H575" s="245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23.25" customHeight="1">
      <c r="A576" s="244"/>
      <c r="B576" s="245"/>
      <c r="E576" s="245"/>
      <c r="H576" s="245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23.25" customHeight="1">
      <c r="A577" s="244"/>
      <c r="B577" s="245"/>
      <c r="E577" s="245"/>
      <c r="H577" s="245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23.25" customHeight="1">
      <c r="A578" s="244"/>
      <c r="B578" s="245"/>
      <c r="E578" s="245"/>
      <c r="H578" s="245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23.25" customHeight="1">
      <c r="A579" s="244"/>
      <c r="B579" s="245"/>
      <c r="E579" s="245"/>
      <c r="H579" s="245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23.25" customHeight="1">
      <c r="A580" s="244"/>
      <c r="B580" s="245"/>
      <c r="E580" s="245"/>
      <c r="H580" s="245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23.25" customHeight="1">
      <c r="A581" s="244"/>
      <c r="B581" s="245"/>
      <c r="E581" s="245"/>
      <c r="H581" s="245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23.25" customHeight="1">
      <c r="A582" s="244"/>
      <c r="B582" s="245"/>
      <c r="E582" s="245"/>
      <c r="H582" s="245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23.25" customHeight="1">
      <c r="A583" s="244"/>
      <c r="B583" s="245"/>
      <c r="E583" s="245"/>
      <c r="H583" s="245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23.25" customHeight="1">
      <c r="A584" s="244"/>
      <c r="B584" s="245"/>
      <c r="E584" s="245"/>
      <c r="H584" s="245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23.25" customHeight="1">
      <c r="A585" s="244"/>
      <c r="B585" s="245"/>
      <c r="E585" s="245"/>
      <c r="H585" s="245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23.25" customHeight="1">
      <c r="A586" s="244"/>
      <c r="B586" s="245"/>
      <c r="E586" s="245"/>
      <c r="H586" s="245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23.25" customHeight="1">
      <c r="A587" s="244"/>
      <c r="B587" s="245"/>
      <c r="E587" s="245"/>
      <c r="H587" s="245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23.25" customHeight="1">
      <c r="A588" s="244"/>
      <c r="B588" s="245"/>
      <c r="E588" s="245"/>
      <c r="H588" s="245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23.25" customHeight="1">
      <c r="A589" s="244"/>
      <c r="B589" s="245"/>
      <c r="E589" s="245"/>
      <c r="H589" s="245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23.25" customHeight="1">
      <c r="A590" s="244"/>
      <c r="B590" s="245"/>
      <c r="E590" s="245"/>
      <c r="H590" s="245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23.25" customHeight="1">
      <c r="A591" s="244"/>
      <c r="B591" s="245"/>
      <c r="E591" s="245"/>
      <c r="H591" s="245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23.25" customHeight="1">
      <c r="A592" s="244"/>
      <c r="B592" s="245"/>
      <c r="E592" s="245"/>
      <c r="H592" s="245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23.25" customHeight="1">
      <c r="A593" s="244"/>
      <c r="B593" s="245"/>
      <c r="E593" s="245"/>
      <c r="H593" s="245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23.25" customHeight="1">
      <c r="A594" s="244"/>
      <c r="B594" s="245"/>
      <c r="E594" s="245"/>
      <c r="H594" s="245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23.25" customHeight="1">
      <c r="A595" s="244"/>
      <c r="B595" s="245"/>
      <c r="E595" s="245"/>
      <c r="H595" s="245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23.25" customHeight="1">
      <c r="A596" s="244"/>
      <c r="B596" s="245"/>
      <c r="E596" s="245"/>
      <c r="H596" s="245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23.25" customHeight="1">
      <c r="A597" s="244"/>
      <c r="B597" s="245"/>
      <c r="E597" s="245"/>
      <c r="H597" s="245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23.25" customHeight="1">
      <c r="A598" s="244"/>
      <c r="B598" s="245"/>
      <c r="E598" s="245"/>
      <c r="H598" s="245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23.25" customHeight="1">
      <c r="A599" s="244"/>
      <c r="B599" s="245"/>
      <c r="E599" s="245"/>
      <c r="H599" s="245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23.25" customHeight="1">
      <c r="A600" s="244"/>
      <c r="B600" s="245"/>
      <c r="E600" s="245"/>
      <c r="H600" s="245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23.25" customHeight="1">
      <c r="A601" s="244"/>
      <c r="B601" s="245"/>
      <c r="E601" s="245"/>
      <c r="H601" s="245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23.25" customHeight="1">
      <c r="A602" s="244"/>
      <c r="B602" s="245"/>
      <c r="E602" s="245"/>
      <c r="H602" s="245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23.25" customHeight="1">
      <c r="A603" s="244"/>
      <c r="B603" s="245"/>
      <c r="E603" s="245"/>
      <c r="H603" s="245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23.25" customHeight="1">
      <c r="A604" s="244"/>
      <c r="B604" s="245"/>
      <c r="E604" s="245"/>
      <c r="H604" s="245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23.25" customHeight="1">
      <c r="A605" s="244"/>
      <c r="B605" s="245"/>
      <c r="E605" s="245"/>
      <c r="H605" s="245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23.25" customHeight="1">
      <c r="A606" s="244"/>
      <c r="B606" s="245"/>
      <c r="E606" s="245"/>
      <c r="H606" s="245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23.25" customHeight="1">
      <c r="A607" s="244"/>
      <c r="B607" s="245"/>
      <c r="E607" s="245"/>
      <c r="H607" s="245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23.25" customHeight="1">
      <c r="A608" s="244"/>
      <c r="B608" s="245"/>
      <c r="E608" s="245"/>
      <c r="H608" s="245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23.25" customHeight="1">
      <c r="A609" s="244"/>
      <c r="B609" s="245"/>
      <c r="E609" s="245"/>
      <c r="H609" s="245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23.25" customHeight="1">
      <c r="A610" s="244"/>
      <c r="B610" s="245"/>
      <c r="E610" s="245"/>
      <c r="H610" s="245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23.25" customHeight="1">
      <c r="A611" s="244"/>
      <c r="B611" s="245"/>
      <c r="E611" s="245"/>
      <c r="H611" s="245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23.25" customHeight="1">
      <c r="A612" s="244"/>
      <c r="B612" s="245"/>
      <c r="E612" s="245"/>
      <c r="H612" s="245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23.25" customHeight="1">
      <c r="A613" s="244"/>
      <c r="B613" s="245"/>
      <c r="E613" s="245"/>
      <c r="H613" s="245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23.25" customHeight="1">
      <c r="A614" s="244"/>
      <c r="B614" s="245"/>
      <c r="E614" s="245"/>
      <c r="H614" s="245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23.25" customHeight="1">
      <c r="A615" s="244"/>
      <c r="B615" s="245"/>
      <c r="E615" s="245"/>
      <c r="H615" s="245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23.25" customHeight="1">
      <c r="A616" s="244"/>
      <c r="B616" s="245"/>
      <c r="E616" s="245"/>
      <c r="H616" s="245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23.25" customHeight="1">
      <c r="A617" s="244"/>
      <c r="B617" s="245"/>
      <c r="E617" s="245"/>
      <c r="H617" s="245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23.25" customHeight="1">
      <c r="A618" s="244"/>
      <c r="B618" s="245"/>
      <c r="E618" s="245"/>
      <c r="H618" s="245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23.25" customHeight="1">
      <c r="A619" s="244"/>
      <c r="B619" s="245"/>
      <c r="E619" s="245"/>
      <c r="H619" s="245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23.25" customHeight="1">
      <c r="A620" s="244"/>
      <c r="B620" s="245"/>
      <c r="E620" s="245"/>
      <c r="H620" s="245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23.25" customHeight="1">
      <c r="A621" s="244"/>
      <c r="B621" s="245"/>
      <c r="E621" s="245"/>
      <c r="H621" s="245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23.25" customHeight="1">
      <c r="A622" s="244"/>
      <c r="B622" s="245"/>
      <c r="E622" s="245"/>
      <c r="H622" s="245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23.25" customHeight="1">
      <c r="A623" s="244"/>
      <c r="B623" s="245"/>
      <c r="E623" s="245"/>
      <c r="H623" s="245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23.25" customHeight="1">
      <c r="A624" s="244"/>
      <c r="B624" s="245"/>
      <c r="E624" s="245"/>
      <c r="H624" s="245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23.25" customHeight="1">
      <c r="A625" s="244"/>
      <c r="B625" s="245"/>
      <c r="E625" s="245"/>
      <c r="H625" s="245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23.25" customHeight="1">
      <c r="A626" s="244"/>
      <c r="B626" s="245"/>
      <c r="E626" s="245"/>
      <c r="H626" s="245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23.25" customHeight="1">
      <c r="A627" s="244"/>
      <c r="B627" s="245"/>
      <c r="E627" s="245"/>
      <c r="H627" s="245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23.25" customHeight="1">
      <c r="A628" s="244"/>
      <c r="B628" s="245"/>
      <c r="E628" s="245"/>
      <c r="H628" s="245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23.25" customHeight="1">
      <c r="A629" s="244"/>
      <c r="B629" s="245"/>
      <c r="E629" s="245"/>
      <c r="H629" s="245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23.25" customHeight="1">
      <c r="A630" s="244"/>
      <c r="B630" s="245"/>
      <c r="E630" s="245"/>
      <c r="H630" s="245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23.25" customHeight="1">
      <c r="A631" s="244"/>
      <c r="B631" s="245"/>
      <c r="E631" s="245"/>
      <c r="H631" s="245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23.25" customHeight="1">
      <c r="A632" s="244"/>
      <c r="B632" s="245"/>
      <c r="E632" s="245"/>
      <c r="H632" s="245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23.25" customHeight="1">
      <c r="A633" s="244"/>
      <c r="B633" s="245"/>
      <c r="E633" s="245"/>
      <c r="H633" s="245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23.25" customHeight="1">
      <c r="A634" s="244"/>
      <c r="B634" s="245"/>
      <c r="E634" s="245"/>
      <c r="H634" s="245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23.25" customHeight="1">
      <c r="A635" s="244"/>
      <c r="B635" s="245"/>
      <c r="E635" s="245"/>
      <c r="H635" s="245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23.25" customHeight="1">
      <c r="A636" s="244"/>
      <c r="B636" s="245"/>
      <c r="E636" s="245"/>
      <c r="H636" s="245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23.25" customHeight="1">
      <c r="A637" s="244"/>
      <c r="B637" s="245"/>
      <c r="E637" s="245"/>
      <c r="H637" s="245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23.25" customHeight="1">
      <c r="A638" s="244"/>
      <c r="B638" s="245"/>
      <c r="E638" s="245"/>
      <c r="H638" s="245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23.25" customHeight="1">
      <c r="A639" s="244"/>
      <c r="B639" s="245"/>
      <c r="E639" s="245"/>
      <c r="H639" s="245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23.25" customHeight="1">
      <c r="A640" s="244"/>
      <c r="B640" s="245"/>
      <c r="E640" s="245"/>
      <c r="H640" s="245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23.25" customHeight="1">
      <c r="A641" s="244"/>
      <c r="B641" s="245"/>
      <c r="E641" s="245"/>
      <c r="H641" s="245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23.25" customHeight="1">
      <c r="A642" s="244"/>
      <c r="B642" s="245"/>
      <c r="E642" s="245"/>
      <c r="H642" s="245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23.25" customHeight="1">
      <c r="A643" s="244"/>
      <c r="B643" s="245"/>
      <c r="E643" s="245"/>
      <c r="H643" s="245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23.25" customHeight="1">
      <c r="A644" s="244"/>
      <c r="B644" s="245"/>
      <c r="E644" s="245"/>
      <c r="H644" s="245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23.25" customHeight="1">
      <c r="A645" s="244"/>
      <c r="B645" s="245"/>
      <c r="E645" s="245"/>
      <c r="H645" s="245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23.25" customHeight="1">
      <c r="A646" s="244"/>
      <c r="B646" s="245"/>
      <c r="E646" s="245"/>
      <c r="H646" s="245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23.25" customHeight="1">
      <c r="A647" s="244"/>
      <c r="B647" s="245"/>
      <c r="E647" s="245"/>
      <c r="H647" s="245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23.25" customHeight="1">
      <c r="A648" s="244"/>
      <c r="B648" s="245"/>
      <c r="E648" s="245"/>
      <c r="H648" s="245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23.25" customHeight="1">
      <c r="A649" s="244"/>
      <c r="B649" s="245"/>
      <c r="E649" s="245"/>
      <c r="H649" s="245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23.25" customHeight="1">
      <c r="A650" s="244"/>
      <c r="B650" s="245"/>
      <c r="E650" s="245"/>
      <c r="H650" s="245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23.25" customHeight="1">
      <c r="A651" s="244"/>
      <c r="B651" s="245"/>
      <c r="E651" s="245"/>
      <c r="H651" s="245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23.25" customHeight="1">
      <c r="A652" s="244"/>
      <c r="B652" s="245"/>
      <c r="E652" s="245"/>
      <c r="H652" s="245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23.25" customHeight="1">
      <c r="A653" s="244"/>
      <c r="B653" s="245"/>
      <c r="E653" s="245"/>
      <c r="H653" s="245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23.25" customHeight="1">
      <c r="A654" s="244"/>
      <c r="B654" s="245"/>
      <c r="E654" s="245"/>
      <c r="H654" s="245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23.25" customHeight="1">
      <c r="A655" s="244"/>
      <c r="B655" s="245"/>
      <c r="E655" s="245"/>
      <c r="H655" s="245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23.25" customHeight="1">
      <c r="A656" s="244"/>
      <c r="B656" s="245"/>
      <c r="E656" s="245"/>
      <c r="H656" s="245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23.25" customHeight="1">
      <c r="A657" s="244"/>
      <c r="B657" s="245"/>
      <c r="E657" s="245"/>
      <c r="H657" s="245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23.25" customHeight="1">
      <c r="A658" s="244"/>
      <c r="B658" s="245"/>
      <c r="E658" s="245"/>
      <c r="H658" s="245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23.25" customHeight="1">
      <c r="A659" s="244"/>
      <c r="B659" s="245"/>
      <c r="E659" s="245"/>
      <c r="H659" s="245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23.25" customHeight="1">
      <c r="A660" s="244"/>
      <c r="B660" s="245"/>
      <c r="E660" s="245"/>
      <c r="H660" s="245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23.25" customHeight="1">
      <c r="A661" s="244"/>
      <c r="B661" s="245"/>
      <c r="E661" s="245"/>
      <c r="H661" s="245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23.25" customHeight="1">
      <c r="A662" s="244"/>
      <c r="B662" s="245"/>
      <c r="E662" s="245"/>
      <c r="H662" s="245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23.25" customHeight="1">
      <c r="A663" s="244"/>
      <c r="B663" s="245"/>
      <c r="E663" s="245"/>
      <c r="H663" s="245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23.25" customHeight="1">
      <c r="A664" s="244"/>
      <c r="B664" s="245"/>
      <c r="E664" s="245"/>
      <c r="H664" s="245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23.25" customHeight="1">
      <c r="A665" s="244"/>
      <c r="B665" s="245"/>
      <c r="E665" s="245"/>
      <c r="H665" s="245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23.25" customHeight="1">
      <c r="A666" s="244"/>
      <c r="B666" s="245"/>
      <c r="E666" s="245"/>
      <c r="H666" s="245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23.25" customHeight="1">
      <c r="A667" s="244"/>
      <c r="B667" s="245"/>
      <c r="E667" s="245"/>
      <c r="H667" s="245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23.25" customHeight="1">
      <c r="A668" s="244"/>
      <c r="B668" s="245"/>
      <c r="E668" s="245"/>
      <c r="H668" s="245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23.25" customHeight="1">
      <c r="A669" s="244"/>
      <c r="B669" s="245"/>
      <c r="E669" s="245"/>
      <c r="H669" s="245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23.25" customHeight="1">
      <c r="A670" s="244"/>
      <c r="B670" s="245"/>
      <c r="E670" s="245"/>
      <c r="H670" s="245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23.25" customHeight="1">
      <c r="A671" s="244"/>
      <c r="B671" s="245"/>
      <c r="E671" s="245"/>
      <c r="H671" s="245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23.25" customHeight="1">
      <c r="A672" s="244"/>
      <c r="B672" s="245"/>
      <c r="E672" s="245"/>
      <c r="H672" s="245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23.25" customHeight="1">
      <c r="A673" s="244"/>
      <c r="B673" s="245"/>
      <c r="E673" s="245"/>
      <c r="H673" s="245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23.25" customHeight="1">
      <c r="A674" s="244"/>
      <c r="B674" s="245"/>
      <c r="E674" s="245"/>
      <c r="H674" s="245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23.25" customHeight="1">
      <c r="A675" s="244"/>
      <c r="B675" s="245"/>
      <c r="E675" s="245"/>
      <c r="H675" s="245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23.25" customHeight="1">
      <c r="A676" s="244"/>
      <c r="B676" s="245"/>
      <c r="E676" s="245"/>
      <c r="H676" s="245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23.25" customHeight="1">
      <c r="A677" s="244"/>
      <c r="B677" s="245"/>
      <c r="E677" s="245"/>
      <c r="H677" s="245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23.25" customHeight="1">
      <c r="A678" s="244"/>
      <c r="B678" s="245"/>
      <c r="E678" s="245"/>
      <c r="H678" s="245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23.25" customHeight="1">
      <c r="A679" s="244"/>
      <c r="B679" s="245"/>
      <c r="E679" s="245"/>
      <c r="H679" s="245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23.25" customHeight="1">
      <c r="A680" s="244"/>
      <c r="B680" s="245"/>
      <c r="E680" s="245"/>
      <c r="H680" s="245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23.25" customHeight="1">
      <c r="A681" s="244"/>
      <c r="B681" s="245"/>
      <c r="E681" s="245"/>
      <c r="H681" s="245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23.25" customHeight="1">
      <c r="A682" s="244"/>
      <c r="B682" s="245"/>
      <c r="E682" s="245"/>
      <c r="H682" s="245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23.25" customHeight="1">
      <c r="A683" s="244"/>
      <c r="B683" s="245"/>
      <c r="E683" s="245"/>
      <c r="H683" s="245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23.25" customHeight="1">
      <c r="A684" s="244"/>
      <c r="B684" s="245"/>
      <c r="E684" s="245"/>
      <c r="H684" s="245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23.25" customHeight="1">
      <c r="A685" s="244"/>
      <c r="B685" s="245"/>
      <c r="E685" s="245"/>
      <c r="H685" s="245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23.25" customHeight="1">
      <c r="A686" s="244"/>
      <c r="B686" s="245"/>
      <c r="E686" s="245"/>
      <c r="H686" s="245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23.25" customHeight="1">
      <c r="A687" s="244"/>
      <c r="B687" s="245"/>
      <c r="E687" s="245"/>
      <c r="H687" s="245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23.25" customHeight="1">
      <c r="A688" s="244"/>
      <c r="B688" s="245"/>
      <c r="E688" s="245"/>
      <c r="H688" s="245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23.25" customHeight="1">
      <c r="A689" s="244"/>
      <c r="B689" s="245"/>
      <c r="E689" s="245"/>
      <c r="H689" s="245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23.25" customHeight="1">
      <c r="A690" s="244"/>
      <c r="B690" s="245"/>
      <c r="E690" s="245"/>
      <c r="H690" s="245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23.25" customHeight="1">
      <c r="A691" s="244"/>
      <c r="B691" s="245"/>
      <c r="E691" s="245"/>
      <c r="H691" s="245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23.25" customHeight="1">
      <c r="A692" s="244"/>
      <c r="B692" s="245"/>
      <c r="E692" s="245"/>
      <c r="H692" s="245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23.25" customHeight="1">
      <c r="A693" s="244"/>
      <c r="B693" s="245"/>
      <c r="E693" s="245"/>
      <c r="H693" s="245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23.25" customHeight="1">
      <c r="A694" s="244"/>
      <c r="B694" s="245"/>
      <c r="E694" s="245"/>
      <c r="H694" s="245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23.25" customHeight="1">
      <c r="A695" s="244"/>
      <c r="B695" s="245"/>
      <c r="E695" s="245"/>
      <c r="H695" s="245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23.25" customHeight="1">
      <c r="A696" s="244"/>
      <c r="B696" s="245"/>
      <c r="E696" s="245"/>
      <c r="H696" s="245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23.25" customHeight="1">
      <c r="A697" s="244"/>
      <c r="B697" s="245"/>
      <c r="E697" s="245"/>
      <c r="H697" s="245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23.25" customHeight="1">
      <c r="A698" s="244"/>
      <c r="B698" s="245"/>
      <c r="E698" s="245"/>
      <c r="H698" s="245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23.25" customHeight="1">
      <c r="A699" s="244"/>
      <c r="B699" s="245"/>
      <c r="E699" s="245"/>
      <c r="H699" s="245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23.25" customHeight="1">
      <c r="A700" s="244"/>
      <c r="B700" s="245"/>
      <c r="E700" s="245"/>
      <c r="H700" s="245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23.25" customHeight="1">
      <c r="A701" s="244"/>
      <c r="B701" s="245"/>
      <c r="E701" s="245"/>
      <c r="H701" s="245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23.25" customHeight="1">
      <c r="A702" s="244"/>
      <c r="B702" s="245"/>
      <c r="E702" s="245"/>
      <c r="H702" s="245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23.25" customHeight="1">
      <c r="A703" s="244"/>
      <c r="B703" s="245"/>
      <c r="E703" s="245"/>
      <c r="H703" s="245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23.25" customHeight="1">
      <c r="A704" s="244"/>
      <c r="B704" s="245"/>
      <c r="E704" s="245"/>
      <c r="H704" s="245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23.25" customHeight="1">
      <c r="A705" s="244"/>
      <c r="B705" s="245"/>
      <c r="E705" s="245"/>
      <c r="H705" s="245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23.25" customHeight="1">
      <c r="A706" s="244"/>
      <c r="B706" s="245"/>
      <c r="E706" s="245"/>
      <c r="H706" s="245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23.25" customHeight="1">
      <c r="A707" s="244"/>
      <c r="B707" s="245"/>
      <c r="E707" s="245"/>
      <c r="H707" s="245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23.25" customHeight="1">
      <c r="A708" s="244"/>
      <c r="B708" s="245"/>
      <c r="E708" s="245"/>
      <c r="H708" s="245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23.25" customHeight="1">
      <c r="A709" s="244"/>
      <c r="B709" s="245"/>
      <c r="E709" s="245"/>
      <c r="H709" s="245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23.25" customHeight="1">
      <c r="A710" s="244"/>
      <c r="B710" s="245"/>
      <c r="E710" s="245"/>
      <c r="H710" s="245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23.25" customHeight="1">
      <c r="A711" s="244"/>
      <c r="B711" s="245"/>
      <c r="E711" s="245"/>
      <c r="H711" s="245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23.25" customHeight="1">
      <c r="A712" s="244"/>
      <c r="B712" s="245"/>
      <c r="E712" s="245"/>
      <c r="H712" s="245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23.25" customHeight="1">
      <c r="A713" s="244"/>
      <c r="B713" s="245"/>
      <c r="E713" s="245"/>
      <c r="H713" s="245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23.25" customHeight="1">
      <c r="A714" s="244"/>
      <c r="B714" s="245"/>
      <c r="E714" s="245"/>
      <c r="H714" s="245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23.25" customHeight="1">
      <c r="A715" s="244"/>
      <c r="B715" s="245"/>
      <c r="E715" s="245"/>
      <c r="H715" s="245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23.25" customHeight="1">
      <c r="A716" s="244"/>
      <c r="B716" s="245"/>
      <c r="E716" s="245"/>
      <c r="H716" s="245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23.25" customHeight="1">
      <c r="A717" s="244"/>
      <c r="B717" s="245"/>
      <c r="E717" s="245"/>
      <c r="H717" s="245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23.25" customHeight="1">
      <c r="A718" s="244"/>
      <c r="B718" s="245"/>
      <c r="E718" s="245"/>
      <c r="H718" s="245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23.25" customHeight="1">
      <c r="A719" s="244"/>
      <c r="B719" s="245"/>
      <c r="E719" s="245"/>
      <c r="H719" s="245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23.25" customHeight="1">
      <c r="A720" s="244"/>
      <c r="B720" s="245"/>
      <c r="E720" s="245"/>
      <c r="H720" s="245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23.25" customHeight="1">
      <c r="A721" s="244"/>
      <c r="B721" s="245"/>
      <c r="E721" s="245"/>
      <c r="H721" s="245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23.25" customHeight="1">
      <c r="A722" s="244"/>
      <c r="B722" s="245"/>
      <c r="E722" s="245"/>
      <c r="H722" s="245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23.25" customHeight="1">
      <c r="A723" s="244"/>
      <c r="B723" s="245"/>
      <c r="E723" s="245"/>
      <c r="H723" s="245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23.25" customHeight="1">
      <c r="A724" s="244"/>
      <c r="B724" s="245"/>
      <c r="E724" s="245"/>
      <c r="H724" s="245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23.25" customHeight="1">
      <c r="A725" s="244"/>
      <c r="B725" s="245"/>
      <c r="E725" s="245"/>
      <c r="H725" s="245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23.25" customHeight="1">
      <c r="A726" s="244"/>
      <c r="B726" s="245"/>
      <c r="E726" s="245"/>
      <c r="H726" s="245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23.25" customHeight="1">
      <c r="A727" s="244"/>
      <c r="B727" s="245"/>
      <c r="E727" s="245"/>
      <c r="H727" s="245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23.25" customHeight="1">
      <c r="A728" s="244"/>
      <c r="B728" s="245"/>
      <c r="E728" s="245"/>
      <c r="H728" s="245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23.25" customHeight="1">
      <c r="A729" s="244"/>
      <c r="B729" s="245"/>
      <c r="E729" s="245"/>
      <c r="H729" s="245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23.25" customHeight="1">
      <c r="A730" s="244"/>
      <c r="B730" s="245"/>
      <c r="E730" s="245"/>
      <c r="H730" s="245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23.25" customHeight="1">
      <c r="A731" s="244"/>
      <c r="B731" s="245"/>
      <c r="E731" s="245"/>
      <c r="H731" s="245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23.25" customHeight="1">
      <c r="A732" s="244"/>
      <c r="B732" s="245"/>
      <c r="E732" s="245"/>
      <c r="H732" s="245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23.25" customHeight="1">
      <c r="A733" s="244"/>
      <c r="B733" s="245"/>
      <c r="E733" s="245"/>
      <c r="H733" s="245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23.25" customHeight="1">
      <c r="A734" s="244"/>
      <c r="B734" s="245"/>
      <c r="E734" s="245"/>
      <c r="H734" s="245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23.25" customHeight="1">
      <c r="A735" s="244"/>
      <c r="B735" s="245"/>
      <c r="E735" s="245"/>
      <c r="H735" s="245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23.25" customHeight="1">
      <c r="A736" s="244"/>
      <c r="B736" s="245"/>
      <c r="E736" s="245"/>
      <c r="H736" s="245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23.25" customHeight="1">
      <c r="A737" s="244"/>
      <c r="B737" s="245"/>
      <c r="E737" s="245"/>
      <c r="H737" s="245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23.25" customHeight="1">
      <c r="A738" s="244"/>
      <c r="B738" s="245"/>
      <c r="E738" s="245"/>
      <c r="H738" s="245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23.25" customHeight="1">
      <c r="A739" s="244"/>
      <c r="B739" s="245"/>
      <c r="E739" s="245"/>
      <c r="H739" s="245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23.25" customHeight="1">
      <c r="A740" s="244"/>
      <c r="B740" s="245"/>
      <c r="E740" s="245"/>
      <c r="H740" s="245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23.25" customHeight="1">
      <c r="A741" s="244"/>
      <c r="B741" s="245"/>
      <c r="E741" s="245"/>
      <c r="H741" s="245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23.25" customHeight="1">
      <c r="A742" s="244"/>
      <c r="B742" s="245"/>
      <c r="E742" s="245"/>
      <c r="H742" s="245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23.25" customHeight="1">
      <c r="A743" s="244"/>
      <c r="B743" s="245"/>
      <c r="E743" s="245"/>
      <c r="H743" s="245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23.25" customHeight="1">
      <c r="A744" s="244"/>
      <c r="B744" s="245"/>
      <c r="E744" s="245"/>
      <c r="H744" s="245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23.25" customHeight="1">
      <c r="A745" s="244"/>
      <c r="B745" s="245"/>
      <c r="E745" s="245"/>
      <c r="H745" s="245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23.25" customHeight="1">
      <c r="A746" s="244"/>
      <c r="B746" s="245"/>
      <c r="E746" s="245"/>
      <c r="H746" s="245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23.25" customHeight="1">
      <c r="A747" s="244"/>
      <c r="B747" s="245"/>
      <c r="E747" s="245"/>
      <c r="H747" s="245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23.25" customHeight="1">
      <c r="A748" s="244"/>
      <c r="B748" s="245"/>
      <c r="E748" s="245"/>
      <c r="H748" s="245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23.25" customHeight="1">
      <c r="A749" s="244"/>
      <c r="B749" s="245"/>
      <c r="E749" s="245"/>
      <c r="H749" s="245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23.25" customHeight="1">
      <c r="A750" s="244"/>
      <c r="B750" s="245"/>
      <c r="E750" s="245"/>
      <c r="H750" s="245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23.25" customHeight="1">
      <c r="A751" s="244"/>
      <c r="B751" s="245"/>
      <c r="E751" s="245"/>
      <c r="H751" s="245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23.25" customHeight="1">
      <c r="A752" s="244"/>
      <c r="B752" s="245"/>
      <c r="E752" s="245"/>
      <c r="H752" s="245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23.25" customHeight="1">
      <c r="A753" s="244"/>
      <c r="B753" s="245"/>
      <c r="E753" s="245"/>
      <c r="H753" s="245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23.25" customHeight="1">
      <c r="A754" s="244"/>
      <c r="B754" s="245"/>
      <c r="E754" s="245"/>
      <c r="H754" s="245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23.25" customHeight="1">
      <c r="A755" s="244"/>
      <c r="B755" s="245"/>
      <c r="E755" s="245"/>
      <c r="H755" s="245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23.25" customHeight="1">
      <c r="A756" s="244"/>
      <c r="B756" s="245"/>
      <c r="E756" s="245"/>
      <c r="H756" s="245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23.25" customHeight="1">
      <c r="A757" s="244"/>
      <c r="B757" s="245"/>
      <c r="E757" s="245"/>
      <c r="H757" s="245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23.25" customHeight="1">
      <c r="A758" s="244"/>
      <c r="B758" s="245"/>
      <c r="E758" s="245"/>
      <c r="H758" s="245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23.25" customHeight="1">
      <c r="A759" s="244"/>
      <c r="B759" s="245"/>
      <c r="E759" s="245"/>
      <c r="H759" s="245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23.25" customHeight="1">
      <c r="A760" s="244"/>
      <c r="B760" s="245"/>
      <c r="E760" s="245"/>
      <c r="H760" s="245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23.25" customHeight="1">
      <c r="A761" s="244"/>
      <c r="B761" s="245"/>
      <c r="E761" s="245"/>
      <c r="H761" s="245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23.25" customHeight="1">
      <c r="A762" s="244"/>
      <c r="B762" s="245"/>
      <c r="E762" s="245"/>
      <c r="H762" s="245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23.25" customHeight="1">
      <c r="A763" s="244"/>
      <c r="B763" s="245"/>
      <c r="E763" s="245"/>
      <c r="H763" s="245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23.25" customHeight="1">
      <c r="A764" s="244"/>
      <c r="B764" s="245"/>
      <c r="E764" s="245"/>
      <c r="H764" s="245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23.25" customHeight="1">
      <c r="A765" s="244"/>
      <c r="B765" s="245"/>
      <c r="E765" s="245"/>
      <c r="H765" s="245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23.25" customHeight="1">
      <c r="A766" s="244"/>
      <c r="B766" s="245"/>
      <c r="E766" s="245"/>
      <c r="H766" s="245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23.25" customHeight="1">
      <c r="A767" s="244"/>
      <c r="B767" s="245"/>
      <c r="E767" s="245"/>
      <c r="H767" s="245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23.25" customHeight="1">
      <c r="A768" s="244"/>
      <c r="B768" s="245"/>
      <c r="E768" s="245"/>
      <c r="H768" s="245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23.25" customHeight="1">
      <c r="A769" s="244"/>
      <c r="B769" s="245"/>
      <c r="E769" s="245"/>
      <c r="H769" s="245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23.25" customHeight="1">
      <c r="A770" s="244"/>
      <c r="B770" s="245"/>
      <c r="E770" s="245"/>
      <c r="H770" s="245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23.25" customHeight="1">
      <c r="A771" s="244"/>
      <c r="B771" s="245"/>
      <c r="E771" s="245"/>
      <c r="H771" s="245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23.25" customHeight="1">
      <c r="A772" s="244"/>
      <c r="B772" s="245"/>
      <c r="E772" s="245"/>
      <c r="H772" s="245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23.25" customHeight="1">
      <c r="A773" s="244"/>
      <c r="B773" s="245"/>
      <c r="E773" s="245"/>
      <c r="H773" s="245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23.25" customHeight="1">
      <c r="A774" s="244"/>
      <c r="B774" s="245"/>
      <c r="E774" s="245"/>
      <c r="H774" s="245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23.25" customHeight="1">
      <c r="A775" s="244"/>
      <c r="B775" s="245"/>
      <c r="E775" s="245"/>
      <c r="H775" s="245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23.25" customHeight="1">
      <c r="A776" s="244"/>
      <c r="B776" s="245"/>
      <c r="E776" s="245"/>
      <c r="H776" s="245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23.25" customHeight="1">
      <c r="A777" s="244"/>
      <c r="B777" s="245"/>
      <c r="E777" s="245"/>
      <c r="H777" s="245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23.25" customHeight="1">
      <c r="A778" s="244"/>
      <c r="B778" s="245"/>
      <c r="E778" s="245"/>
      <c r="H778" s="245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23.25" customHeight="1">
      <c r="A779" s="244"/>
      <c r="B779" s="245"/>
      <c r="E779" s="245"/>
      <c r="H779" s="245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23.25" customHeight="1">
      <c r="A780" s="244"/>
      <c r="B780" s="245"/>
      <c r="E780" s="245"/>
      <c r="H780" s="245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23.25" customHeight="1">
      <c r="A781" s="244"/>
      <c r="B781" s="245"/>
      <c r="E781" s="245"/>
      <c r="H781" s="245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23.25" customHeight="1">
      <c r="A782" s="244"/>
      <c r="B782" s="245"/>
      <c r="E782" s="245"/>
      <c r="H782" s="245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23.25" customHeight="1">
      <c r="A783" s="244"/>
      <c r="B783" s="245"/>
      <c r="E783" s="245"/>
      <c r="H783" s="245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23.25" customHeight="1">
      <c r="A784" s="244"/>
      <c r="B784" s="245"/>
      <c r="E784" s="245"/>
      <c r="H784" s="245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23.25" customHeight="1">
      <c r="A785" s="244"/>
      <c r="B785" s="245"/>
      <c r="E785" s="245"/>
      <c r="H785" s="245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23.25" customHeight="1">
      <c r="A786" s="244"/>
      <c r="B786" s="245"/>
      <c r="E786" s="245"/>
      <c r="H786" s="245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23.25" customHeight="1">
      <c r="A787" s="244"/>
      <c r="B787" s="245"/>
      <c r="E787" s="245"/>
      <c r="H787" s="245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23.25" customHeight="1">
      <c r="A788" s="244"/>
      <c r="B788" s="245"/>
      <c r="E788" s="245"/>
      <c r="H788" s="245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23.25" customHeight="1">
      <c r="A789" s="244"/>
      <c r="B789" s="245"/>
      <c r="E789" s="245"/>
      <c r="H789" s="245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23.25" customHeight="1">
      <c r="A790" s="244"/>
      <c r="B790" s="245"/>
      <c r="E790" s="245"/>
      <c r="H790" s="245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23.25" customHeight="1">
      <c r="A791" s="244"/>
      <c r="B791" s="245"/>
      <c r="E791" s="245"/>
      <c r="H791" s="245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23.25" customHeight="1">
      <c r="A792" s="244"/>
      <c r="B792" s="245"/>
      <c r="E792" s="245"/>
      <c r="H792" s="245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23.25" customHeight="1">
      <c r="A793" s="244"/>
      <c r="B793" s="245"/>
      <c r="E793" s="245"/>
      <c r="H793" s="245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23.25" customHeight="1">
      <c r="A794" s="244"/>
      <c r="B794" s="245"/>
      <c r="E794" s="245"/>
      <c r="H794" s="245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23.25" customHeight="1">
      <c r="A795" s="244"/>
      <c r="B795" s="245"/>
      <c r="E795" s="245"/>
      <c r="H795" s="245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23.25" customHeight="1">
      <c r="A796" s="244"/>
      <c r="B796" s="245"/>
      <c r="E796" s="245"/>
      <c r="H796" s="245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23.25" customHeight="1">
      <c r="A797" s="244"/>
      <c r="B797" s="245"/>
      <c r="E797" s="245"/>
      <c r="H797" s="245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23.25" customHeight="1">
      <c r="A798" s="244"/>
      <c r="B798" s="245"/>
      <c r="E798" s="245"/>
      <c r="H798" s="245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23.25" customHeight="1">
      <c r="A799" s="244"/>
      <c r="B799" s="245"/>
      <c r="E799" s="245"/>
      <c r="H799" s="245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23.25" customHeight="1">
      <c r="A800" s="244"/>
      <c r="B800" s="245"/>
      <c r="E800" s="245"/>
      <c r="H800" s="245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23.25" customHeight="1">
      <c r="A801" s="244"/>
      <c r="B801" s="245"/>
      <c r="E801" s="245"/>
      <c r="H801" s="245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23.25" customHeight="1">
      <c r="A802" s="244"/>
      <c r="B802" s="245"/>
      <c r="E802" s="245"/>
      <c r="H802" s="245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23.25" customHeight="1">
      <c r="A803" s="244"/>
      <c r="B803" s="245"/>
      <c r="E803" s="245"/>
      <c r="H803" s="245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23.25" customHeight="1">
      <c r="A804" s="244"/>
      <c r="B804" s="245"/>
      <c r="E804" s="245"/>
      <c r="H804" s="245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23.25" customHeight="1">
      <c r="A805" s="244"/>
      <c r="B805" s="245"/>
      <c r="E805" s="245"/>
      <c r="H805" s="245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23.25" customHeight="1">
      <c r="A806" s="244"/>
      <c r="B806" s="245"/>
      <c r="E806" s="245"/>
      <c r="H806" s="245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23.25" customHeight="1">
      <c r="A807" s="244"/>
      <c r="B807" s="245"/>
      <c r="E807" s="245"/>
      <c r="H807" s="245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23.25" customHeight="1">
      <c r="A808" s="244"/>
      <c r="B808" s="245"/>
      <c r="E808" s="245"/>
      <c r="H808" s="245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23.25" customHeight="1">
      <c r="A809" s="244"/>
      <c r="B809" s="245"/>
      <c r="E809" s="245"/>
      <c r="H809" s="245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23.25" customHeight="1">
      <c r="A810" s="244"/>
      <c r="B810" s="245"/>
      <c r="E810" s="245"/>
      <c r="H810" s="245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23.25" customHeight="1">
      <c r="A811" s="244"/>
      <c r="B811" s="245"/>
      <c r="E811" s="245"/>
      <c r="H811" s="245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23.25" customHeight="1">
      <c r="A812" s="244"/>
      <c r="B812" s="245"/>
      <c r="E812" s="245"/>
      <c r="H812" s="245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23.25" customHeight="1">
      <c r="A813" s="244"/>
      <c r="B813" s="245"/>
      <c r="E813" s="245"/>
      <c r="H813" s="245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23.25" customHeight="1">
      <c r="A814" s="244"/>
      <c r="B814" s="245"/>
      <c r="E814" s="245"/>
      <c r="H814" s="245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23.25" customHeight="1">
      <c r="A815" s="244"/>
      <c r="B815" s="245"/>
      <c r="E815" s="245"/>
      <c r="H815" s="245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23.25" customHeight="1">
      <c r="A816" s="244"/>
      <c r="B816" s="245"/>
      <c r="E816" s="245"/>
      <c r="H816" s="245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23.25" customHeight="1">
      <c r="A817" s="244"/>
      <c r="B817" s="245"/>
      <c r="E817" s="245"/>
      <c r="H817" s="245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23.25" customHeight="1">
      <c r="A818" s="244"/>
      <c r="B818" s="245"/>
      <c r="E818" s="245"/>
      <c r="H818" s="245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23.25" customHeight="1">
      <c r="A819" s="244"/>
      <c r="B819" s="245"/>
      <c r="E819" s="245"/>
      <c r="H819" s="245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23.25" customHeight="1">
      <c r="A820" s="244"/>
      <c r="B820" s="245"/>
      <c r="E820" s="245"/>
      <c r="H820" s="245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23.25" customHeight="1">
      <c r="A821" s="244"/>
      <c r="B821" s="245"/>
      <c r="E821" s="245"/>
      <c r="H821" s="245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23.25" customHeight="1">
      <c r="A822" s="244"/>
      <c r="B822" s="245"/>
      <c r="E822" s="245"/>
      <c r="H822" s="245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23.25" customHeight="1">
      <c r="A823" s="244"/>
      <c r="B823" s="245"/>
      <c r="E823" s="245"/>
      <c r="H823" s="245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23.25" customHeight="1">
      <c r="A824" s="244"/>
      <c r="B824" s="245"/>
      <c r="E824" s="245"/>
      <c r="H824" s="245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23.25" customHeight="1">
      <c r="A825" s="244"/>
      <c r="B825" s="245"/>
      <c r="E825" s="245"/>
      <c r="H825" s="245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23.25" customHeight="1">
      <c r="A826" s="244"/>
      <c r="B826" s="245"/>
      <c r="E826" s="245"/>
      <c r="H826" s="245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23.25" customHeight="1">
      <c r="A827" s="244"/>
      <c r="B827" s="245"/>
      <c r="E827" s="245"/>
      <c r="H827" s="245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23.25" customHeight="1">
      <c r="A828" s="244"/>
      <c r="B828" s="245"/>
      <c r="E828" s="245"/>
      <c r="H828" s="245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23.25" customHeight="1">
      <c r="A829" s="244"/>
      <c r="B829" s="245"/>
      <c r="E829" s="245"/>
      <c r="H829" s="245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23.25" customHeight="1">
      <c r="A830" s="244"/>
      <c r="B830" s="245"/>
      <c r="E830" s="245"/>
      <c r="H830" s="245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23.25" customHeight="1">
      <c r="A831" s="244"/>
      <c r="B831" s="245"/>
      <c r="E831" s="245"/>
      <c r="H831" s="245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23.25" customHeight="1">
      <c r="A832" s="244"/>
      <c r="B832" s="245"/>
      <c r="E832" s="245"/>
      <c r="H832" s="245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23.25" customHeight="1">
      <c r="A833" s="244"/>
      <c r="B833" s="245"/>
      <c r="E833" s="245"/>
      <c r="H833" s="245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23.25" customHeight="1">
      <c r="A834" s="244"/>
      <c r="B834" s="245"/>
      <c r="E834" s="245"/>
      <c r="H834" s="245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23.25" customHeight="1">
      <c r="A835" s="244"/>
      <c r="B835" s="245"/>
      <c r="E835" s="245"/>
      <c r="H835" s="245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23.25" customHeight="1">
      <c r="A836" s="244"/>
      <c r="B836" s="245"/>
      <c r="E836" s="245"/>
      <c r="H836" s="245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23.25" customHeight="1">
      <c r="A837" s="244"/>
      <c r="B837" s="245"/>
      <c r="E837" s="245"/>
      <c r="H837" s="245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23.25" customHeight="1">
      <c r="A838" s="244"/>
      <c r="B838" s="245"/>
      <c r="E838" s="245"/>
      <c r="H838" s="245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23.25" customHeight="1">
      <c r="A839" s="244"/>
      <c r="B839" s="245"/>
      <c r="E839" s="245"/>
      <c r="H839" s="245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23.25" customHeight="1">
      <c r="A840" s="244"/>
      <c r="B840" s="245"/>
      <c r="E840" s="245"/>
      <c r="H840" s="245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23.25" customHeight="1">
      <c r="A841" s="244"/>
      <c r="B841" s="245"/>
      <c r="E841" s="245"/>
      <c r="H841" s="245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23.25" customHeight="1">
      <c r="A842" s="244"/>
      <c r="B842" s="245"/>
      <c r="E842" s="245"/>
      <c r="H842" s="245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23.25" customHeight="1">
      <c r="A843" s="244"/>
      <c r="B843" s="245"/>
      <c r="E843" s="245"/>
      <c r="H843" s="245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23.25" customHeight="1">
      <c r="A844" s="244"/>
      <c r="B844" s="245"/>
      <c r="E844" s="245"/>
      <c r="H844" s="245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23.25" customHeight="1">
      <c r="A845" s="244"/>
      <c r="B845" s="245"/>
      <c r="E845" s="245"/>
      <c r="H845" s="245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23.25" customHeight="1">
      <c r="A846" s="244"/>
      <c r="B846" s="245"/>
      <c r="E846" s="245"/>
      <c r="H846" s="245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23.25" customHeight="1">
      <c r="A847" s="244"/>
      <c r="B847" s="245"/>
      <c r="E847" s="245"/>
      <c r="H847" s="245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23.25" customHeight="1">
      <c r="A848" s="244"/>
      <c r="B848" s="245"/>
      <c r="E848" s="245"/>
      <c r="H848" s="245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23.25" customHeight="1">
      <c r="A849" s="244"/>
      <c r="B849" s="245"/>
      <c r="E849" s="245"/>
      <c r="H849" s="245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23.25" customHeight="1">
      <c r="A850" s="244"/>
      <c r="B850" s="245"/>
      <c r="E850" s="245"/>
      <c r="H850" s="245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23.25" customHeight="1">
      <c r="A851" s="244"/>
      <c r="B851" s="245"/>
      <c r="E851" s="245"/>
      <c r="H851" s="245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23.25" customHeight="1">
      <c r="A852" s="244"/>
      <c r="B852" s="245"/>
      <c r="E852" s="245"/>
      <c r="H852" s="245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23.25" customHeight="1">
      <c r="A853" s="244"/>
      <c r="B853" s="245"/>
      <c r="E853" s="245"/>
      <c r="H853" s="245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23.25" customHeight="1">
      <c r="A854" s="244"/>
      <c r="B854" s="245"/>
      <c r="E854" s="245"/>
      <c r="H854" s="245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23.25" customHeight="1">
      <c r="A855" s="244"/>
      <c r="B855" s="245"/>
      <c r="E855" s="245"/>
      <c r="H855" s="245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23.25" customHeight="1">
      <c r="A856" s="244"/>
      <c r="B856" s="245"/>
      <c r="E856" s="245"/>
      <c r="H856" s="245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23.25" customHeight="1">
      <c r="A857" s="244"/>
      <c r="B857" s="245"/>
      <c r="E857" s="245"/>
      <c r="H857" s="245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23.25" customHeight="1">
      <c r="A858" s="244"/>
      <c r="B858" s="245"/>
      <c r="E858" s="245"/>
      <c r="H858" s="245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23.25" customHeight="1">
      <c r="A859" s="244"/>
      <c r="B859" s="245"/>
      <c r="E859" s="245"/>
      <c r="H859" s="245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23.25" customHeight="1">
      <c r="A860" s="244"/>
      <c r="B860" s="245"/>
      <c r="E860" s="245"/>
      <c r="H860" s="245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23.25" customHeight="1">
      <c r="A861" s="244"/>
      <c r="B861" s="245"/>
      <c r="E861" s="245"/>
      <c r="H861" s="245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23.25" customHeight="1">
      <c r="A862" s="244"/>
      <c r="B862" s="245"/>
      <c r="E862" s="245"/>
      <c r="H862" s="245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23.25" customHeight="1">
      <c r="A863" s="244"/>
      <c r="B863" s="245"/>
      <c r="E863" s="245"/>
      <c r="H863" s="245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23.25" customHeight="1">
      <c r="A864" s="244"/>
      <c r="B864" s="245"/>
      <c r="E864" s="245"/>
      <c r="H864" s="245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23.25" customHeight="1">
      <c r="A865" s="244"/>
      <c r="B865" s="245"/>
      <c r="E865" s="245"/>
      <c r="H865" s="245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23.25" customHeight="1">
      <c r="A866" s="244"/>
      <c r="B866" s="245"/>
      <c r="E866" s="245"/>
      <c r="H866" s="245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23.25" customHeight="1">
      <c r="A867" s="244"/>
      <c r="B867" s="245"/>
      <c r="E867" s="245"/>
      <c r="H867" s="245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23.25" customHeight="1">
      <c r="A868" s="244"/>
      <c r="B868" s="245"/>
      <c r="E868" s="245"/>
      <c r="H868" s="245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23.25" customHeight="1">
      <c r="A869" s="244"/>
      <c r="B869" s="245"/>
      <c r="E869" s="245"/>
      <c r="H869" s="245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23.25" customHeight="1">
      <c r="A870" s="244"/>
      <c r="B870" s="245"/>
      <c r="E870" s="245"/>
      <c r="H870" s="245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23.25" customHeight="1">
      <c r="A871" s="244"/>
      <c r="B871" s="245"/>
      <c r="E871" s="245"/>
      <c r="H871" s="245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23.25" customHeight="1">
      <c r="A872" s="244"/>
      <c r="B872" s="245"/>
      <c r="E872" s="245"/>
      <c r="H872" s="245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23.25" customHeight="1">
      <c r="A873" s="244"/>
      <c r="B873" s="245"/>
      <c r="E873" s="245"/>
      <c r="H873" s="245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23.25" customHeight="1">
      <c r="A874" s="244"/>
      <c r="B874" s="245"/>
      <c r="E874" s="245"/>
      <c r="H874" s="245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23.25" customHeight="1">
      <c r="A875" s="244"/>
      <c r="B875" s="245"/>
      <c r="E875" s="245"/>
      <c r="H875" s="245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23.25" customHeight="1">
      <c r="A876" s="244"/>
      <c r="B876" s="245"/>
      <c r="E876" s="245"/>
      <c r="H876" s="245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23.25" customHeight="1">
      <c r="A877" s="244"/>
      <c r="B877" s="245"/>
      <c r="E877" s="245"/>
      <c r="H877" s="245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23.25" customHeight="1">
      <c r="A878" s="244"/>
      <c r="B878" s="245"/>
      <c r="E878" s="245"/>
      <c r="H878" s="245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23.25" customHeight="1">
      <c r="A879" s="244"/>
      <c r="B879" s="245"/>
      <c r="E879" s="245"/>
      <c r="H879" s="245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23.25" customHeight="1">
      <c r="A880" s="244"/>
      <c r="B880" s="245"/>
      <c r="E880" s="245"/>
      <c r="H880" s="245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23.25" customHeight="1">
      <c r="A881" s="244"/>
      <c r="B881" s="245"/>
      <c r="E881" s="245"/>
      <c r="H881" s="245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23.25" customHeight="1">
      <c r="A882" s="244"/>
      <c r="B882" s="245"/>
      <c r="E882" s="245"/>
      <c r="H882" s="245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23.25" customHeight="1">
      <c r="A883" s="244"/>
      <c r="B883" s="245"/>
      <c r="E883" s="245"/>
      <c r="H883" s="245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23.25" customHeight="1">
      <c r="A884" s="244"/>
      <c r="B884" s="245"/>
      <c r="E884" s="245"/>
      <c r="H884" s="245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23.25" customHeight="1">
      <c r="A885" s="244"/>
      <c r="B885" s="245"/>
      <c r="E885" s="245"/>
      <c r="H885" s="245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23.25" customHeight="1">
      <c r="A886" s="244"/>
      <c r="B886" s="245"/>
      <c r="E886" s="245"/>
      <c r="H886" s="245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23.25" customHeight="1">
      <c r="A887" s="244"/>
      <c r="B887" s="245"/>
      <c r="E887" s="245"/>
      <c r="H887" s="245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23.25" customHeight="1">
      <c r="A888" s="244"/>
      <c r="B888" s="245"/>
      <c r="E888" s="245"/>
      <c r="H888" s="245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23.25" customHeight="1">
      <c r="A889" s="244"/>
      <c r="B889" s="245"/>
      <c r="E889" s="245"/>
      <c r="H889" s="245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23.25" customHeight="1">
      <c r="A890" s="244"/>
      <c r="B890" s="245"/>
      <c r="E890" s="245"/>
      <c r="H890" s="245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23.25" customHeight="1">
      <c r="A891" s="244"/>
      <c r="B891" s="245"/>
      <c r="E891" s="245"/>
      <c r="H891" s="245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23.25" customHeight="1">
      <c r="A892" s="244"/>
      <c r="B892" s="245"/>
      <c r="E892" s="245"/>
      <c r="H892" s="245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23.25" customHeight="1">
      <c r="A893" s="244"/>
      <c r="B893" s="245"/>
      <c r="E893" s="245"/>
      <c r="H893" s="245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23.25" customHeight="1">
      <c r="A894" s="244"/>
      <c r="B894" s="245"/>
      <c r="E894" s="245"/>
      <c r="H894" s="245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23.25" customHeight="1">
      <c r="A895" s="244"/>
      <c r="B895" s="245"/>
      <c r="E895" s="245"/>
      <c r="H895" s="245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23.25" customHeight="1">
      <c r="A896" s="244"/>
      <c r="B896" s="245"/>
      <c r="E896" s="245"/>
      <c r="H896" s="245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23.25" customHeight="1">
      <c r="A897" s="244"/>
      <c r="B897" s="245"/>
      <c r="E897" s="245"/>
      <c r="H897" s="245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23.25" customHeight="1">
      <c r="A898" s="244"/>
      <c r="B898" s="245"/>
      <c r="E898" s="245"/>
      <c r="H898" s="245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23.25" customHeight="1">
      <c r="A899" s="244"/>
      <c r="B899" s="245"/>
      <c r="E899" s="245"/>
      <c r="H899" s="245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23.25" customHeight="1">
      <c r="A900" s="244"/>
      <c r="B900" s="245"/>
      <c r="E900" s="245"/>
      <c r="H900" s="245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23.25" customHeight="1">
      <c r="A901" s="244"/>
      <c r="B901" s="245"/>
      <c r="E901" s="245"/>
      <c r="H901" s="245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23.25" customHeight="1">
      <c r="A902" s="244"/>
      <c r="B902" s="245"/>
      <c r="E902" s="245"/>
      <c r="H902" s="245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23.25" customHeight="1">
      <c r="A903" s="244"/>
      <c r="B903" s="245"/>
      <c r="E903" s="245"/>
      <c r="H903" s="245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23.25" customHeight="1">
      <c r="A904" s="244"/>
      <c r="B904" s="245"/>
      <c r="E904" s="245"/>
      <c r="H904" s="245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23.25" customHeight="1">
      <c r="A905" s="244"/>
      <c r="B905" s="245"/>
      <c r="E905" s="245"/>
      <c r="H905" s="245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23.25" customHeight="1">
      <c r="A906" s="244"/>
      <c r="B906" s="245"/>
      <c r="E906" s="245"/>
      <c r="H906" s="245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23.25" customHeight="1">
      <c r="A907" s="244"/>
      <c r="B907" s="245"/>
      <c r="E907" s="245"/>
      <c r="H907" s="245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23.25" customHeight="1">
      <c r="A908" s="244"/>
      <c r="B908" s="245"/>
      <c r="E908" s="245"/>
      <c r="H908" s="245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23.25" customHeight="1">
      <c r="A909" s="244"/>
      <c r="B909" s="245"/>
      <c r="E909" s="245"/>
      <c r="H909" s="245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23.25" customHeight="1">
      <c r="A910" s="244"/>
      <c r="B910" s="245"/>
      <c r="E910" s="245"/>
      <c r="H910" s="245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23.25" customHeight="1">
      <c r="A911" s="244"/>
      <c r="B911" s="245"/>
      <c r="E911" s="245"/>
      <c r="H911" s="245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23.25" customHeight="1">
      <c r="A912" s="244"/>
      <c r="B912" s="245"/>
      <c r="E912" s="245"/>
      <c r="H912" s="245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23.25" customHeight="1">
      <c r="A913" s="244"/>
      <c r="B913" s="245"/>
      <c r="E913" s="245"/>
      <c r="H913" s="245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23.25" customHeight="1">
      <c r="A914" s="244"/>
      <c r="B914" s="245"/>
      <c r="E914" s="245"/>
      <c r="H914" s="245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23.25" customHeight="1">
      <c r="A915" s="244"/>
      <c r="B915" s="245"/>
      <c r="E915" s="245"/>
      <c r="H915" s="245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23.25" customHeight="1">
      <c r="A916" s="244"/>
      <c r="B916" s="245"/>
      <c r="E916" s="245"/>
      <c r="H916" s="245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23.25" customHeight="1">
      <c r="A917" s="244"/>
      <c r="B917" s="245"/>
      <c r="E917" s="245"/>
      <c r="H917" s="245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23.25" customHeight="1">
      <c r="A918" s="244"/>
      <c r="B918" s="245"/>
      <c r="E918" s="245"/>
      <c r="H918" s="245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23.25" customHeight="1">
      <c r="A919" s="244"/>
      <c r="B919" s="245"/>
      <c r="E919" s="245"/>
      <c r="H919" s="245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23.25" customHeight="1">
      <c r="A920" s="244"/>
      <c r="B920" s="245"/>
      <c r="E920" s="245"/>
      <c r="H920" s="245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23.25" customHeight="1">
      <c r="A921" s="244"/>
      <c r="B921" s="245"/>
      <c r="E921" s="245"/>
      <c r="H921" s="245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23.25" customHeight="1">
      <c r="A922" s="244"/>
      <c r="B922" s="245"/>
      <c r="E922" s="245"/>
      <c r="H922" s="245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23.25" customHeight="1">
      <c r="A923" s="244"/>
      <c r="B923" s="245"/>
      <c r="E923" s="245"/>
      <c r="H923" s="245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23.25" customHeight="1">
      <c r="A924" s="244"/>
      <c r="B924" s="245"/>
      <c r="E924" s="245"/>
      <c r="H924" s="245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23.25" customHeight="1">
      <c r="A925" s="244"/>
      <c r="B925" s="245"/>
      <c r="E925" s="245"/>
      <c r="H925" s="245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23.25" customHeight="1">
      <c r="A926" s="244"/>
      <c r="B926" s="245"/>
      <c r="E926" s="245"/>
      <c r="H926" s="245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23.25" customHeight="1">
      <c r="A927" s="244"/>
      <c r="B927" s="245"/>
      <c r="E927" s="245"/>
      <c r="H927" s="245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23.25" customHeight="1">
      <c r="A928" s="244"/>
      <c r="B928" s="245"/>
      <c r="E928" s="245"/>
      <c r="H928" s="245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23.25" customHeight="1">
      <c r="A929" s="244"/>
      <c r="B929" s="245"/>
      <c r="E929" s="245"/>
      <c r="H929" s="245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23.25" customHeight="1">
      <c r="A930" s="244"/>
      <c r="B930" s="245"/>
      <c r="E930" s="245"/>
      <c r="H930" s="245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23.25" customHeight="1">
      <c r="A931" s="244"/>
      <c r="B931" s="245"/>
      <c r="E931" s="245"/>
      <c r="H931" s="245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23.25" customHeight="1">
      <c r="A932" s="244"/>
      <c r="B932" s="245"/>
      <c r="E932" s="245"/>
      <c r="H932" s="245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23.25" customHeight="1">
      <c r="A933" s="244"/>
      <c r="B933" s="245"/>
      <c r="E933" s="245"/>
      <c r="H933" s="245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23.25" customHeight="1">
      <c r="A934" s="244"/>
      <c r="B934" s="245"/>
      <c r="E934" s="245"/>
      <c r="H934" s="245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23.25" customHeight="1">
      <c r="A935" s="244"/>
      <c r="B935" s="245"/>
      <c r="E935" s="245"/>
      <c r="H935" s="245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23.25" customHeight="1">
      <c r="A936" s="244"/>
      <c r="B936" s="245"/>
      <c r="E936" s="245"/>
      <c r="H936" s="245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23.25" customHeight="1">
      <c r="A937" s="244"/>
      <c r="B937" s="245"/>
      <c r="E937" s="245"/>
      <c r="H937" s="245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23.25" customHeight="1">
      <c r="A938" s="244"/>
      <c r="B938" s="245"/>
      <c r="E938" s="245"/>
      <c r="H938" s="245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23.25" customHeight="1">
      <c r="A939" s="244"/>
      <c r="B939" s="245"/>
      <c r="E939" s="245"/>
      <c r="H939" s="245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23.25" customHeight="1">
      <c r="A940" s="244"/>
      <c r="B940" s="245"/>
      <c r="E940" s="245"/>
      <c r="H940" s="245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23.25" customHeight="1">
      <c r="A941" s="244"/>
      <c r="B941" s="245"/>
      <c r="E941" s="245"/>
      <c r="H941" s="245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23.25" customHeight="1">
      <c r="A942" s="244"/>
      <c r="B942" s="245"/>
      <c r="E942" s="245"/>
      <c r="H942" s="245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23.25" customHeight="1">
      <c r="A943" s="244"/>
      <c r="B943" s="245"/>
      <c r="E943" s="245"/>
      <c r="H943" s="245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23.25" customHeight="1">
      <c r="A944" s="244"/>
      <c r="B944" s="245"/>
      <c r="E944" s="245"/>
      <c r="H944" s="245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23.25" customHeight="1">
      <c r="A945" s="244"/>
      <c r="B945" s="245"/>
      <c r="E945" s="245"/>
      <c r="H945" s="245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23.25" customHeight="1">
      <c r="A946" s="244"/>
      <c r="B946" s="245"/>
      <c r="E946" s="245"/>
      <c r="H946" s="245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23.25" customHeight="1">
      <c r="A947" s="244"/>
      <c r="B947" s="245"/>
      <c r="E947" s="245"/>
      <c r="H947" s="245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23.25" customHeight="1">
      <c r="A948" s="244"/>
      <c r="B948" s="245"/>
      <c r="E948" s="245"/>
      <c r="H948" s="245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23.25" customHeight="1">
      <c r="A949" s="244"/>
      <c r="B949" s="245"/>
      <c r="E949" s="245"/>
      <c r="H949" s="245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23.25" customHeight="1">
      <c r="A950" s="244"/>
      <c r="B950" s="245"/>
      <c r="E950" s="245"/>
      <c r="H950" s="245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23.25" customHeight="1">
      <c r="A951" s="244"/>
      <c r="B951" s="245"/>
      <c r="E951" s="245"/>
      <c r="H951" s="245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23.25" customHeight="1">
      <c r="A952" s="244"/>
      <c r="B952" s="245"/>
      <c r="E952" s="245"/>
      <c r="H952" s="245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23.25" customHeight="1">
      <c r="A953" s="244"/>
      <c r="B953" s="245"/>
      <c r="E953" s="245"/>
      <c r="H953" s="245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23.25" customHeight="1">
      <c r="A954" s="244"/>
      <c r="B954" s="245"/>
      <c r="E954" s="245"/>
      <c r="H954" s="245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23.25" customHeight="1">
      <c r="A955" s="244"/>
      <c r="B955" s="245"/>
      <c r="E955" s="245"/>
      <c r="H955" s="245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23.25" customHeight="1">
      <c r="A956" s="244"/>
      <c r="B956" s="245"/>
      <c r="E956" s="245"/>
      <c r="H956" s="245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23.25" customHeight="1">
      <c r="A957" s="244"/>
      <c r="B957" s="245"/>
      <c r="E957" s="245"/>
      <c r="H957" s="245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23.25" customHeight="1">
      <c r="A958" s="244"/>
      <c r="B958" s="245"/>
      <c r="E958" s="245"/>
      <c r="H958" s="245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23.25" customHeight="1">
      <c r="A959" s="244"/>
      <c r="B959" s="245"/>
      <c r="E959" s="245"/>
      <c r="H959" s="245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23.25" customHeight="1">
      <c r="A960" s="244"/>
      <c r="B960" s="245"/>
      <c r="E960" s="245"/>
      <c r="H960" s="245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23.25" customHeight="1">
      <c r="A961" s="244"/>
      <c r="B961" s="245"/>
      <c r="E961" s="245"/>
      <c r="H961" s="245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23.25" customHeight="1">
      <c r="A962" s="244"/>
      <c r="B962" s="245"/>
      <c r="E962" s="245"/>
      <c r="H962" s="245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23.25" customHeight="1">
      <c r="A963" s="244"/>
      <c r="B963" s="245"/>
      <c r="E963" s="245"/>
      <c r="H963" s="245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23.25" customHeight="1">
      <c r="A964" s="244"/>
      <c r="B964" s="245"/>
      <c r="E964" s="245"/>
      <c r="H964" s="245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23.25" customHeight="1">
      <c r="A965" s="244"/>
      <c r="B965" s="245"/>
      <c r="E965" s="245"/>
      <c r="H965" s="245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23.25" customHeight="1">
      <c r="A966" s="244"/>
      <c r="B966" s="245"/>
      <c r="E966" s="245"/>
      <c r="H966" s="245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23.25" customHeight="1">
      <c r="A967" s="244"/>
      <c r="B967" s="245"/>
      <c r="E967" s="245"/>
      <c r="H967" s="245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23.25" customHeight="1">
      <c r="A968" s="244"/>
      <c r="B968" s="245"/>
      <c r="E968" s="245"/>
      <c r="H968" s="245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23.25" customHeight="1">
      <c r="A969" s="244"/>
      <c r="B969" s="245"/>
      <c r="E969" s="245"/>
      <c r="H969" s="245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23.25" customHeight="1">
      <c r="A970" s="244"/>
      <c r="B970" s="245"/>
      <c r="E970" s="245"/>
      <c r="H970" s="245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23.25" customHeight="1">
      <c r="A971" s="244"/>
      <c r="B971" s="245"/>
      <c r="E971" s="245"/>
      <c r="H971" s="245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23.25" customHeight="1">
      <c r="A972" s="244"/>
      <c r="B972" s="245"/>
      <c r="E972" s="245"/>
      <c r="H972" s="245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23.25" customHeight="1">
      <c r="A973" s="244"/>
      <c r="B973" s="245"/>
      <c r="E973" s="245"/>
      <c r="H973" s="245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23.25" customHeight="1">
      <c r="A974" s="244"/>
      <c r="B974" s="245"/>
      <c r="E974" s="245"/>
      <c r="H974" s="245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23.25" customHeight="1">
      <c r="A975" s="244"/>
      <c r="B975" s="245"/>
      <c r="E975" s="245"/>
      <c r="H975" s="245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23.25" customHeight="1">
      <c r="A976" s="244"/>
      <c r="B976" s="245"/>
      <c r="E976" s="245"/>
      <c r="H976" s="245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23.25" customHeight="1">
      <c r="A977" s="244"/>
      <c r="B977" s="245"/>
      <c r="E977" s="245"/>
      <c r="H977" s="245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23.25" customHeight="1">
      <c r="A978" s="244"/>
      <c r="B978" s="245"/>
      <c r="E978" s="245"/>
      <c r="H978" s="245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23.25" customHeight="1">
      <c r="A979" s="244"/>
      <c r="B979" s="245"/>
      <c r="E979" s="245"/>
      <c r="H979" s="245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23.25" customHeight="1">
      <c r="A980" s="244"/>
      <c r="B980" s="245"/>
      <c r="E980" s="245"/>
      <c r="H980" s="245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23.25" customHeight="1">
      <c r="A981" s="244"/>
      <c r="B981" s="245"/>
      <c r="E981" s="245"/>
      <c r="H981" s="245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23.25" customHeight="1">
      <c r="A982" s="244"/>
      <c r="B982" s="245"/>
      <c r="E982" s="245"/>
      <c r="H982" s="245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23.25" customHeight="1">
      <c r="A983" s="244"/>
      <c r="B983" s="245"/>
      <c r="E983" s="245"/>
      <c r="H983" s="245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23.25" customHeight="1">
      <c r="A984" s="244"/>
      <c r="B984" s="245"/>
      <c r="E984" s="245"/>
      <c r="H984" s="245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23.25" customHeight="1">
      <c r="A985" s="244"/>
      <c r="B985" s="245"/>
      <c r="E985" s="245"/>
      <c r="H985" s="245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23.25" customHeight="1">
      <c r="A986" s="244"/>
      <c r="B986" s="245"/>
      <c r="E986" s="245"/>
      <c r="H986" s="245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23.25" customHeight="1">
      <c r="A987" s="244"/>
      <c r="B987" s="245"/>
      <c r="E987" s="245"/>
      <c r="H987" s="245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23.25" customHeight="1">
      <c r="A988" s="244"/>
      <c r="B988" s="245"/>
      <c r="E988" s="245"/>
      <c r="H988" s="245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23.25" customHeight="1">
      <c r="A989" s="244"/>
      <c r="B989" s="245"/>
      <c r="E989" s="245"/>
      <c r="H989" s="245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23.25" customHeight="1">
      <c r="A990" s="244"/>
      <c r="B990" s="245"/>
      <c r="E990" s="245"/>
      <c r="H990" s="245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23.25" customHeight="1">
      <c r="A991" s="244"/>
      <c r="B991" s="245"/>
      <c r="E991" s="245"/>
      <c r="H991" s="245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23.25" customHeight="1">
      <c r="A992" s="244"/>
      <c r="B992" s="245"/>
      <c r="E992" s="245"/>
      <c r="H992" s="245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23.25" customHeight="1">
      <c r="A993" s="244"/>
      <c r="B993" s="245"/>
      <c r="E993" s="245"/>
      <c r="H993" s="245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23.25" customHeight="1">
      <c r="A994" s="244"/>
      <c r="B994" s="245"/>
      <c r="E994" s="245"/>
      <c r="H994" s="245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23.25" customHeight="1">
      <c r="A995" s="244"/>
      <c r="B995" s="245"/>
      <c r="E995" s="245"/>
      <c r="H995" s="245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23.25" customHeight="1">
      <c r="A996" s="244"/>
      <c r="B996" s="245"/>
      <c r="E996" s="245"/>
      <c r="H996" s="245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23.25" customHeight="1">
      <c r="A997" s="244"/>
      <c r="B997" s="245"/>
      <c r="E997" s="245"/>
      <c r="H997" s="245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23.25" customHeight="1">
      <c r="A998" s="244"/>
      <c r="B998" s="245"/>
      <c r="E998" s="245"/>
      <c r="H998" s="245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23.25" customHeight="1">
      <c r="A999" s="244"/>
      <c r="B999" s="245"/>
      <c r="E999" s="245"/>
      <c r="H999" s="245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ht="23.25" customHeight="1">
      <c r="A1000" s="244"/>
      <c r="B1000" s="245"/>
      <c r="E1000" s="245"/>
      <c r="H1000" s="245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  <row r="1001" ht="23.25" customHeight="1">
      <c r="A1001" s="244"/>
      <c r="B1001" s="245"/>
      <c r="E1001" s="245"/>
      <c r="H1001" s="245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</row>
  </sheetData>
  <autoFilter ref="$B$4:$J$38"/>
  <mergeCells count="104">
    <mergeCell ref="B131:C131"/>
    <mergeCell ref="E131:F131"/>
    <mergeCell ref="H131:I131"/>
    <mergeCell ref="E132:G132"/>
    <mergeCell ref="B133:D133"/>
    <mergeCell ref="E133:G133"/>
    <mergeCell ref="H133:J133"/>
    <mergeCell ref="A131:A133"/>
    <mergeCell ref="A178:A180"/>
    <mergeCell ref="B178:C178"/>
    <mergeCell ref="E178:F178"/>
    <mergeCell ref="H178:I178"/>
    <mergeCell ref="E179:G179"/>
    <mergeCell ref="B180:D180"/>
    <mergeCell ref="E3:G3"/>
    <mergeCell ref="H3:J3"/>
    <mergeCell ref="B5:D5"/>
    <mergeCell ref="E5:G5"/>
    <mergeCell ref="H5:J5"/>
    <mergeCell ref="A1:A4"/>
    <mergeCell ref="B1:F1"/>
    <mergeCell ref="G1:I1"/>
    <mergeCell ref="B2:C2"/>
    <mergeCell ref="E2:F2"/>
    <mergeCell ref="H2:I2"/>
    <mergeCell ref="B3:D3"/>
    <mergeCell ref="B37:C37"/>
    <mergeCell ref="E37:F37"/>
    <mergeCell ref="H37:I37"/>
    <mergeCell ref="E38:G38"/>
    <mergeCell ref="B39:D39"/>
    <mergeCell ref="E39:G39"/>
    <mergeCell ref="H39:J39"/>
    <mergeCell ref="E86:G86"/>
    <mergeCell ref="H86:J86"/>
    <mergeCell ref="A37:A39"/>
    <mergeCell ref="A84:A86"/>
    <mergeCell ref="B84:C84"/>
    <mergeCell ref="E84:F84"/>
    <mergeCell ref="H84:I84"/>
    <mergeCell ref="E85:G85"/>
    <mergeCell ref="B86:D86"/>
    <mergeCell ref="E180:G180"/>
    <mergeCell ref="H180:J180"/>
    <mergeCell ref="A225:A227"/>
    <mergeCell ref="B225:C225"/>
    <mergeCell ref="E225:F225"/>
    <mergeCell ref="H225:I225"/>
    <mergeCell ref="E226:G226"/>
    <mergeCell ref="H227:J227"/>
    <mergeCell ref="B413:C413"/>
    <mergeCell ref="E413:F413"/>
    <mergeCell ref="H413:I413"/>
    <mergeCell ref="E414:G414"/>
    <mergeCell ref="B415:D415"/>
    <mergeCell ref="E415:G415"/>
    <mergeCell ref="H415:J415"/>
    <mergeCell ref="A413:A415"/>
    <mergeCell ref="A460:A462"/>
    <mergeCell ref="B460:C460"/>
    <mergeCell ref="E460:F460"/>
    <mergeCell ref="H460:I460"/>
    <mergeCell ref="E461:G461"/>
    <mergeCell ref="B462:D462"/>
    <mergeCell ref="B274:D274"/>
    <mergeCell ref="E274:G274"/>
    <mergeCell ref="H274:J274"/>
    <mergeCell ref="B227:D227"/>
    <mergeCell ref="E227:G227"/>
    <mergeCell ref="A272:A274"/>
    <mergeCell ref="B272:C272"/>
    <mergeCell ref="E272:F272"/>
    <mergeCell ref="H272:I272"/>
    <mergeCell ref="E273:G273"/>
    <mergeCell ref="B319:C319"/>
    <mergeCell ref="E319:F319"/>
    <mergeCell ref="H319:I319"/>
    <mergeCell ref="E320:G320"/>
    <mergeCell ref="B321:D321"/>
    <mergeCell ref="E321:G321"/>
    <mergeCell ref="H321:J321"/>
    <mergeCell ref="E368:G368"/>
    <mergeCell ref="H368:J368"/>
    <mergeCell ref="A319:A321"/>
    <mergeCell ref="A366:A368"/>
    <mergeCell ref="B366:C366"/>
    <mergeCell ref="E366:F366"/>
    <mergeCell ref="H366:I366"/>
    <mergeCell ref="E367:G367"/>
    <mergeCell ref="B368:D368"/>
    <mergeCell ref="E462:G462"/>
    <mergeCell ref="H462:J462"/>
    <mergeCell ref="B507:C507"/>
    <mergeCell ref="B554:C554"/>
    <mergeCell ref="E554:F554"/>
    <mergeCell ref="H554:I554"/>
    <mergeCell ref="E555:G555"/>
    <mergeCell ref="A507:A509"/>
    <mergeCell ref="E507:F507"/>
    <mergeCell ref="H507:I507"/>
    <mergeCell ref="E508:G508"/>
    <mergeCell ref="B509:D509"/>
    <mergeCell ref="E509:G509"/>
    <mergeCell ref="H509:J509"/>
  </mergeCells>
  <conditionalFormatting sqref="B6 C6:C8 D6:J6 D9 C10:C36 C40">
    <cfRule type="colorScale" priority="1">
      <colorScale>
        <cfvo type="min"/>
        <cfvo type="max"/>
        <color rgb="FFFF7128"/>
        <color rgb="FFFFEF9C"/>
      </colorScale>
    </cfRule>
  </conditionalFormatting>
  <conditionalFormatting sqref="B6:J36 B40:J83 B87:J130 B134:J177 B181:J224 B228:J271 B275:J318 B322:J365 B369:J412 B416:J459 B463:J506 B510:J553">
    <cfRule type="expression" dxfId="2" priority="2">
      <formula>ODD(ROW())=ROW()</formula>
    </cfRule>
  </conditionalFormatting>
  <conditionalFormatting sqref="B40 C40:C62 D40:J40 C76:C83">
    <cfRule type="colorScale" priority="3">
      <colorScale>
        <cfvo type="min"/>
        <cfvo type="max"/>
        <color rgb="FFFF7128"/>
        <color rgb="FFFFEF9C"/>
      </colorScale>
    </cfRule>
  </conditionalFormatting>
  <conditionalFormatting sqref="B87 C87:C103 D87:J87 H93:J93 C117:C130">
    <cfRule type="colorScale" priority="4">
      <colorScale>
        <cfvo type="min"/>
        <cfvo type="max"/>
        <color rgb="FFFF7128"/>
        <color rgb="FFFFEF9C"/>
      </colorScale>
    </cfRule>
  </conditionalFormatting>
  <conditionalFormatting sqref="B134:J134 C135:C147 C161:C177">
    <cfRule type="colorScale" priority="5">
      <colorScale>
        <cfvo type="min"/>
        <cfvo type="max"/>
        <color rgb="FFFF7128"/>
        <color rgb="FFFFEF9C"/>
      </colorScale>
    </cfRule>
  </conditionalFormatting>
  <conditionalFormatting sqref="B181 C181:C194 D181:J181 C208:C224">
    <cfRule type="colorScale" priority="6">
      <colorScale>
        <cfvo type="min"/>
        <cfvo type="max"/>
        <color rgb="FFFF7128"/>
        <color rgb="FFFFEF9C"/>
      </colorScale>
    </cfRule>
  </conditionalFormatting>
  <conditionalFormatting sqref="B228 C228:C242 D228:J228 C256:C271">
    <cfRule type="colorScale" priority="7">
      <colorScale>
        <cfvo type="min"/>
        <cfvo type="max"/>
        <color rgb="FFFF7128"/>
        <color rgb="FFFFEF9C"/>
      </colorScale>
    </cfRule>
  </conditionalFormatting>
  <conditionalFormatting sqref="B275 C275:C290 D275:J275 C304:C318">
    <cfRule type="colorScale" priority="8">
      <colorScale>
        <cfvo type="min"/>
        <cfvo type="max"/>
        <color rgb="FFFF7128"/>
        <color rgb="FFFFEF9C"/>
      </colorScale>
    </cfRule>
  </conditionalFormatting>
  <conditionalFormatting sqref="B322 C322:C339 D322:J322 I325:I326 C353:C365">
    <cfRule type="colorScale" priority="9">
      <colorScale>
        <cfvo type="min"/>
        <cfvo type="max"/>
        <color rgb="FFFF7128"/>
        <color rgb="FFFFEF9C"/>
      </colorScale>
    </cfRule>
  </conditionalFormatting>
  <conditionalFormatting sqref="B369 C369:C390 D369:J369 C404:C412">
    <cfRule type="colorScale" priority="10">
      <colorScale>
        <cfvo type="min"/>
        <cfvo type="max"/>
        <color rgb="FFFF7128"/>
        <color rgb="FFFFEF9C"/>
      </colorScale>
    </cfRule>
  </conditionalFormatting>
  <conditionalFormatting sqref="B416:J416 C417:C435 C449:C459">
    <cfRule type="colorScale" priority="11">
      <colorScale>
        <cfvo type="min"/>
        <cfvo type="max"/>
        <color rgb="FFFF7128"/>
        <color rgb="FFFFEF9C"/>
      </colorScale>
    </cfRule>
  </conditionalFormatting>
  <conditionalFormatting sqref="B463:J463 C464:C485 C499:C506">
    <cfRule type="colorScale" priority="12">
      <colorScale>
        <cfvo type="min"/>
        <cfvo type="max"/>
        <color rgb="FFFF7128"/>
        <color rgb="FFFFEF9C"/>
      </colorScale>
    </cfRule>
  </conditionalFormatting>
  <conditionalFormatting sqref="B510:J510 C511:C530 C544:C553">
    <cfRule type="colorScale" priority="13">
      <colorScale>
        <cfvo type="min"/>
        <cfvo type="max"/>
        <color rgb="FFFF7128"/>
        <color rgb="FFFFEF9C"/>
      </colorScale>
    </cfRule>
  </conditionalFormatting>
  <conditionalFormatting sqref="C63:C75">
    <cfRule type="colorScale" priority="14">
      <colorScale>
        <cfvo type="min"/>
        <cfvo type="max"/>
        <color rgb="FFFF7128"/>
        <color rgb="FFFFEF9C"/>
      </colorScale>
    </cfRule>
  </conditionalFormatting>
  <conditionalFormatting sqref="C104:C116">
    <cfRule type="colorScale" priority="15">
      <colorScale>
        <cfvo type="min"/>
        <cfvo type="max"/>
        <color rgb="FFFF7128"/>
        <color rgb="FFFFEF9C"/>
      </colorScale>
    </cfRule>
  </conditionalFormatting>
  <conditionalFormatting sqref="C148:C160">
    <cfRule type="colorScale" priority="16">
      <colorScale>
        <cfvo type="min"/>
        <cfvo type="max"/>
        <color rgb="FFFF7128"/>
        <color rgb="FFFFEF9C"/>
      </colorScale>
    </cfRule>
  </conditionalFormatting>
  <conditionalFormatting sqref="C195:C207">
    <cfRule type="colorScale" priority="17">
      <colorScale>
        <cfvo type="min"/>
        <cfvo type="max"/>
        <color rgb="FFFF7128"/>
        <color rgb="FFFFEF9C"/>
      </colorScale>
    </cfRule>
  </conditionalFormatting>
  <conditionalFormatting sqref="C243:C255">
    <cfRule type="colorScale" priority="18">
      <colorScale>
        <cfvo type="min"/>
        <cfvo type="max"/>
        <color rgb="FFFF7128"/>
        <color rgb="FFFFEF9C"/>
      </colorScale>
    </cfRule>
  </conditionalFormatting>
  <conditionalFormatting sqref="C291:C303">
    <cfRule type="colorScale" priority="19">
      <colorScale>
        <cfvo type="min"/>
        <cfvo type="max"/>
        <color rgb="FFFF7128"/>
        <color rgb="FFFFEF9C"/>
      </colorScale>
    </cfRule>
  </conditionalFormatting>
  <conditionalFormatting sqref="C338 C340:C352 C369">
    <cfRule type="colorScale" priority="20">
      <colorScale>
        <cfvo type="min"/>
        <cfvo type="max"/>
        <color rgb="FFFF7128"/>
        <color rgb="FFFFEF9C"/>
      </colorScale>
    </cfRule>
  </conditionalFormatting>
  <conditionalFormatting sqref="C391:C403">
    <cfRule type="colorScale" priority="21">
      <colorScale>
        <cfvo type="min"/>
        <cfvo type="max"/>
        <color rgb="FFFF7128"/>
        <color rgb="FFFFEF9C"/>
      </colorScale>
    </cfRule>
  </conditionalFormatting>
  <conditionalFormatting sqref="C436:C448">
    <cfRule type="colorScale" priority="22">
      <colorScale>
        <cfvo type="min"/>
        <cfvo type="max"/>
        <color rgb="FFFF7128"/>
        <color rgb="FFFFEF9C"/>
      </colorScale>
    </cfRule>
  </conditionalFormatting>
  <conditionalFormatting sqref="C486:C498">
    <cfRule type="colorScale" priority="23">
      <colorScale>
        <cfvo type="min"/>
        <cfvo type="max"/>
        <color rgb="FFFF7128"/>
        <color rgb="FFFFEF9C"/>
      </colorScale>
    </cfRule>
  </conditionalFormatting>
  <conditionalFormatting sqref="C531:C543">
    <cfRule type="colorScale" priority="24">
      <colorScale>
        <cfvo type="min"/>
        <cfvo type="max"/>
        <color rgb="FFFF7128"/>
        <color rgb="FFFFEF9C"/>
      </colorScale>
    </cfRule>
  </conditionalFormatting>
  <conditionalFormatting sqref="B37:B38 D37:E37 G37:H37 J37">
    <cfRule type="expression" dxfId="2" priority="25">
      <formula>ODD(ROW())=ROW()</formula>
    </cfRule>
  </conditionalFormatting>
  <conditionalFormatting sqref="B84:B85 D84:E84 G84:H84 J84">
    <cfRule type="expression" dxfId="2" priority="26">
      <formula>ODD(ROW())=ROW()</formula>
    </cfRule>
  </conditionalFormatting>
  <conditionalFormatting sqref="B131:B132 D131:E131 G131:H131 J131">
    <cfRule type="expression" dxfId="2" priority="27">
      <formula>ODD(ROW())=ROW()</formula>
    </cfRule>
  </conditionalFormatting>
  <conditionalFormatting sqref="B178:B179 D178:E178 G178:H178 J178">
    <cfRule type="expression" dxfId="2" priority="28">
      <formula>ODD(ROW())=ROW()</formula>
    </cfRule>
  </conditionalFormatting>
  <conditionalFormatting sqref="B225:B226 D225:E225 G225:H225 J225">
    <cfRule type="expression" dxfId="2" priority="29">
      <formula>ODD(ROW())=ROW()</formula>
    </cfRule>
  </conditionalFormatting>
  <conditionalFormatting sqref="B272:B273 D272:E272 G272:H272 J272">
    <cfRule type="expression" dxfId="2" priority="30">
      <formula>ODD(ROW())=ROW()</formula>
    </cfRule>
  </conditionalFormatting>
  <conditionalFormatting sqref="B319:B320 D319:E319 G319:H319 J319">
    <cfRule type="expression" dxfId="2" priority="31">
      <formula>ODD(ROW())=ROW()</formula>
    </cfRule>
  </conditionalFormatting>
  <conditionalFormatting sqref="B366:B367 D366:E366 G366:H366 J366">
    <cfRule type="expression" dxfId="2" priority="32">
      <formula>ODD(ROW())=ROW()</formula>
    </cfRule>
  </conditionalFormatting>
  <conditionalFormatting sqref="B413:B414 D413:E413 G413:H413 J413">
    <cfRule type="expression" dxfId="2" priority="33">
      <formula>ODD(ROW())=ROW()</formula>
    </cfRule>
  </conditionalFormatting>
  <conditionalFormatting sqref="B460:B461 D460:E460 G460:H460 J460">
    <cfRule type="expression" dxfId="2" priority="34">
      <formula>ODD(ROW())=ROW()</formula>
    </cfRule>
  </conditionalFormatting>
  <conditionalFormatting sqref="B507:B508 D507:E507 G507:H507 J507">
    <cfRule type="expression" dxfId="2" priority="35">
      <formula>ODD(ROW())=ROW()</formula>
    </cfRule>
  </conditionalFormatting>
  <conditionalFormatting sqref="B554:B555 D554:E554 G554:H554 J554">
    <cfRule type="expression" dxfId="2" priority="36">
      <formula>ODD(ROW())=ROW()</formula>
    </cfRule>
  </conditionalFormatting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0.29"/>
    <col customWidth="1" min="2" max="2" width="23.14"/>
    <col customWidth="1" min="3" max="3" width="23.0"/>
    <col customWidth="1" min="4" max="4" width="22.57"/>
    <col customWidth="1" min="5" max="5" width="23.14"/>
    <col customWidth="1" min="6" max="6" width="23.0"/>
    <col customWidth="1" min="7" max="7" width="22.57"/>
    <col customWidth="1" min="8" max="8" width="2.86"/>
    <col customWidth="1" min="9" max="9" width="3.86"/>
    <col customWidth="1" min="10" max="10" width="8.14"/>
    <col customWidth="1" min="11" max="11" width="13.29"/>
    <col customWidth="1" min="12" max="27" width="9.14"/>
  </cols>
  <sheetData>
    <row r="1" ht="30.0" customHeight="1">
      <c r="A1" s="176" t="str">
        <f>'CABEÇALHO'!B6</f>
        <v>Cleiton Queiroz</v>
      </c>
      <c r="B1" s="177" t="s">
        <v>113</v>
      </c>
      <c r="C1" s="47"/>
      <c r="D1" s="47"/>
      <c r="E1" s="178"/>
      <c r="F1" s="179" t="str">
        <f>'CABEÇALHO'!B6</f>
        <v>Cleiton Queiroz</v>
      </c>
      <c r="G1" s="48"/>
      <c r="H1" s="180"/>
      <c r="I1" s="122"/>
      <c r="J1" s="122"/>
      <c r="K1" s="123"/>
      <c r="L1" s="180"/>
      <c r="M1" s="122"/>
      <c r="N1" s="123"/>
      <c r="O1" s="180"/>
      <c r="P1" s="122"/>
      <c r="Q1" s="123"/>
      <c r="R1" s="8"/>
      <c r="S1" s="8"/>
      <c r="T1" s="8"/>
      <c r="U1" s="8"/>
      <c r="V1" s="8"/>
      <c r="W1" s="8"/>
      <c r="X1" s="8"/>
      <c r="Y1" s="8"/>
      <c r="Z1" s="8"/>
      <c r="AA1" s="8"/>
    </row>
    <row r="2" ht="30.0" customHeight="1">
      <c r="A2" s="181"/>
      <c r="B2" s="50"/>
      <c r="E2" s="182"/>
      <c r="F2" s="183"/>
      <c r="G2" s="51"/>
      <c r="H2" s="184"/>
      <c r="I2" s="122"/>
      <c r="J2" s="122"/>
      <c r="K2" s="123"/>
      <c r="L2" s="185"/>
      <c r="M2" s="185"/>
      <c r="N2" s="185"/>
      <c r="O2" s="184"/>
      <c r="P2" s="122"/>
      <c r="Q2" s="123"/>
      <c r="R2" s="8"/>
      <c r="S2" s="8"/>
      <c r="T2" s="8"/>
      <c r="U2" s="8"/>
      <c r="V2" s="8"/>
      <c r="W2" s="8"/>
      <c r="X2" s="8"/>
      <c r="Y2" s="8"/>
      <c r="Z2" s="8"/>
      <c r="AA2" s="8"/>
    </row>
    <row r="3" ht="30.0" customHeight="1">
      <c r="A3" s="186"/>
      <c r="B3" s="76"/>
      <c r="C3" s="77"/>
      <c r="D3" s="77"/>
      <c r="E3" s="187"/>
      <c r="F3" s="188"/>
      <c r="G3" s="79"/>
      <c r="H3" s="189"/>
      <c r="I3" s="8"/>
      <c r="J3" s="8"/>
      <c r="K3" s="8"/>
      <c r="L3" s="185"/>
      <c r="M3" s="185"/>
      <c r="N3" s="185"/>
      <c r="O3" s="18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6.5" customHeight="1">
      <c r="A4" s="190"/>
      <c r="B4" s="191" t="s">
        <v>39</v>
      </c>
      <c r="C4" s="35"/>
      <c r="D4" s="37"/>
      <c r="E4" s="192">
        <f>'CABEÇALHO'!I7</f>
        <v>2026</v>
      </c>
      <c r="F4" s="35"/>
      <c r="G4" s="38"/>
      <c r="H4" s="189"/>
      <c r="I4" s="8"/>
      <c r="J4" s="8"/>
      <c r="K4" s="8"/>
      <c r="L4" s="185"/>
      <c r="M4" s="185"/>
      <c r="N4" s="185"/>
      <c r="O4" s="189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190"/>
      <c r="B5" s="193" t="s">
        <v>36</v>
      </c>
      <c r="C5" s="194" t="s">
        <v>114</v>
      </c>
      <c r="D5" s="195" t="s">
        <v>38</v>
      </c>
      <c r="E5" s="193" t="s">
        <v>36</v>
      </c>
      <c r="F5" s="194" t="s">
        <v>114</v>
      </c>
      <c r="G5" s="196" t="s">
        <v>38</v>
      </c>
      <c r="H5" s="8"/>
      <c r="I5" s="197"/>
      <c r="J5" s="197"/>
      <c r="K5" s="197"/>
      <c r="L5" s="185"/>
      <c r="M5" s="18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0" customHeight="1">
      <c r="A6" s="190"/>
      <c r="B6" s="198">
        <v>46024.0</v>
      </c>
      <c r="C6" s="199" t="s">
        <v>116</v>
      </c>
      <c r="D6" s="200">
        <v>61.5</v>
      </c>
      <c r="E6" s="198">
        <v>46024.0</v>
      </c>
      <c r="F6" s="201" t="s">
        <v>116</v>
      </c>
      <c r="G6" s="202">
        <v>48.0</v>
      </c>
      <c r="H6" s="8"/>
      <c r="I6" s="203"/>
      <c r="J6" s="123"/>
      <c r="K6" s="204"/>
      <c r="L6" s="185"/>
      <c r="M6" s="185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0" customHeight="1">
      <c r="A7" s="190"/>
      <c r="B7" s="205">
        <v>46024.0</v>
      </c>
      <c r="C7" s="206" t="s">
        <v>116</v>
      </c>
      <c r="D7" s="207">
        <v>161.8</v>
      </c>
      <c r="E7" s="205">
        <v>46024.0</v>
      </c>
      <c r="F7" s="208" t="s">
        <v>116</v>
      </c>
      <c r="G7" s="209">
        <v>183.5</v>
      </c>
      <c r="H7" s="185"/>
      <c r="I7" s="210"/>
      <c r="J7" s="123"/>
      <c r="K7" s="189"/>
      <c r="L7" s="185"/>
      <c r="M7" s="185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0" customHeight="1">
      <c r="A8" s="190"/>
      <c r="B8" s="205">
        <v>46024.0</v>
      </c>
      <c r="C8" s="206" t="s">
        <v>116</v>
      </c>
      <c r="D8" s="207">
        <v>98.0</v>
      </c>
      <c r="E8" s="205">
        <v>46024.0</v>
      </c>
      <c r="F8" s="208" t="s">
        <v>116</v>
      </c>
      <c r="G8" s="209">
        <v>154.0</v>
      </c>
      <c r="H8" s="185"/>
      <c r="I8" s="180"/>
      <c r="J8" s="123"/>
      <c r="K8" s="189"/>
      <c r="L8" s="211"/>
      <c r="M8" s="18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0" customHeight="1">
      <c r="A9" s="190"/>
      <c r="B9" s="205">
        <v>46024.0</v>
      </c>
      <c r="C9" s="206" t="s">
        <v>116</v>
      </c>
      <c r="D9" s="207">
        <v>100.87</v>
      </c>
      <c r="E9" s="205">
        <v>46024.0</v>
      </c>
      <c r="F9" s="208" t="s">
        <v>116</v>
      </c>
      <c r="G9" s="209">
        <v>215.4</v>
      </c>
      <c r="H9" s="185"/>
      <c r="I9" s="180"/>
      <c r="J9" s="123"/>
      <c r="K9" s="189"/>
      <c r="L9" s="185"/>
      <c r="M9" s="18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0" customHeight="1">
      <c r="A10" s="190"/>
      <c r="B10" s="205">
        <v>46024.0</v>
      </c>
      <c r="C10" s="206" t="s">
        <v>116</v>
      </c>
      <c r="D10" s="207">
        <v>191.9</v>
      </c>
      <c r="E10" s="205">
        <v>46024.0</v>
      </c>
      <c r="F10" s="208" t="s">
        <v>116</v>
      </c>
      <c r="G10" s="209">
        <v>114.0</v>
      </c>
      <c r="H10" s="185"/>
      <c r="I10" s="180"/>
      <c r="J10" s="123"/>
      <c r="K10" s="189"/>
      <c r="L10" s="185"/>
      <c r="M10" s="18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0" customHeight="1">
      <c r="A11" s="190"/>
      <c r="B11" s="205">
        <v>46024.0</v>
      </c>
      <c r="C11" s="206" t="s">
        <v>116</v>
      </c>
      <c r="D11" s="207">
        <v>164.4</v>
      </c>
      <c r="E11" s="212"/>
      <c r="F11" s="213"/>
      <c r="G11" s="214"/>
      <c r="H11" s="185"/>
      <c r="I11" s="215"/>
      <c r="J11" s="123"/>
      <c r="K11" s="211"/>
      <c r="L11" s="185"/>
      <c r="M11" s="18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0" customHeight="1">
      <c r="A12" s="190"/>
      <c r="B12" s="205">
        <v>46024.0</v>
      </c>
      <c r="C12" s="206" t="s">
        <v>116</v>
      </c>
      <c r="D12" s="207">
        <v>174.6</v>
      </c>
      <c r="E12" s="212"/>
      <c r="F12" s="213"/>
      <c r="G12" s="214"/>
      <c r="H12" s="185"/>
      <c r="I12" s="215"/>
      <c r="J12" s="123"/>
      <c r="K12" s="211"/>
      <c r="L12" s="185"/>
      <c r="M12" s="18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0" customHeight="1">
      <c r="A13" s="190"/>
      <c r="B13" s="205">
        <v>46024.0</v>
      </c>
      <c r="C13" s="206" t="s">
        <v>116</v>
      </c>
      <c r="D13" s="207">
        <v>64.0</v>
      </c>
      <c r="E13" s="212"/>
      <c r="F13" s="213"/>
      <c r="G13" s="214"/>
      <c r="H13" s="185"/>
      <c r="I13" s="215"/>
      <c r="J13" s="123"/>
      <c r="K13" s="211"/>
      <c r="L13" s="185"/>
      <c r="M13" s="18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0" customHeight="1">
      <c r="A14" s="190"/>
      <c r="B14" s="205">
        <v>46024.0</v>
      </c>
      <c r="C14" s="206" t="s">
        <v>116</v>
      </c>
      <c r="D14" s="207">
        <v>144.36</v>
      </c>
      <c r="E14" s="212"/>
      <c r="F14" s="213"/>
      <c r="G14" s="214"/>
      <c r="H14" s="185"/>
      <c r="I14" s="203"/>
      <c r="J14" s="123"/>
      <c r="K14" s="216"/>
      <c r="L14" s="185"/>
      <c r="M14" s="18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0" customHeight="1">
      <c r="A15" s="190"/>
      <c r="B15" s="205">
        <v>46024.0</v>
      </c>
      <c r="C15" s="206" t="s">
        <v>116</v>
      </c>
      <c r="D15" s="207">
        <v>101.5</v>
      </c>
      <c r="E15" s="212"/>
      <c r="F15" s="213"/>
      <c r="G15" s="214"/>
      <c r="H15" s="185"/>
      <c r="I15" s="203"/>
      <c r="J15" s="123"/>
      <c r="K15" s="216"/>
      <c r="L15" s="185"/>
      <c r="M15" s="18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0" customHeight="1">
      <c r="A16" s="190"/>
      <c r="B16" s="205">
        <v>46024.0</v>
      </c>
      <c r="C16" s="206" t="s">
        <v>116</v>
      </c>
      <c r="D16" s="207">
        <v>224.4</v>
      </c>
      <c r="E16" s="212"/>
      <c r="F16" s="213"/>
      <c r="G16" s="214"/>
      <c r="H16" s="185"/>
      <c r="I16" s="203"/>
      <c r="J16" s="123"/>
      <c r="K16" s="216"/>
      <c r="L16" s="185"/>
      <c r="M16" s="18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0" customHeight="1">
      <c r="A17" s="190"/>
      <c r="B17" s="205">
        <v>46024.0</v>
      </c>
      <c r="C17" s="206" t="s">
        <v>116</v>
      </c>
      <c r="D17" s="207">
        <v>167.0</v>
      </c>
      <c r="E17" s="212"/>
      <c r="F17" s="213"/>
      <c r="G17" s="214"/>
      <c r="H17" s="185"/>
      <c r="I17" s="203"/>
      <c r="J17" s="123"/>
      <c r="K17" s="216"/>
      <c r="L17" s="185"/>
      <c r="M17" s="185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0" customHeight="1">
      <c r="A18" s="190"/>
      <c r="B18" s="205">
        <v>46024.0</v>
      </c>
      <c r="C18" s="206" t="s">
        <v>116</v>
      </c>
      <c r="D18" s="207">
        <v>231.5</v>
      </c>
      <c r="E18" s="212"/>
      <c r="F18" s="213"/>
      <c r="G18" s="214"/>
      <c r="H18" s="8"/>
      <c r="I18" s="217"/>
      <c r="J18" s="123"/>
      <c r="K18" s="218"/>
      <c r="L18" s="185"/>
      <c r="M18" s="18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0" customHeight="1">
      <c r="A19" s="190"/>
      <c r="B19" s="205">
        <v>46024.0</v>
      </c>
      <c r="C19" s="206" t="s">
        <v>116</v>
      </c>
      <c r="D19" s="207">
        <v>190.0</v>
      </c>
      <c r="E19" s="212"/>
      <c r="F19" s="213"/>
      <c r="G19" s="214"/>
      <c r="H19" s="8"/>
      <c r="I19" s="185"/>
      <c r="J19" s="185"/>
      <c r="K19" s="185"/>
      <c r="L19" s="185"/>
      <c r="M19" s="18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0" customHeight="1">
      <c r="A20" s="190"/>
      <c r="B20" s="219">
        <v>46024.0</v>
      </c>
      <c r="C20" s="220" t="s">
        <v>116</v>
      </c>
      <c r="D20" s="221">
        <v>77.0</v>
      </c>
      <c r="E20" s="222"/>
      <c r="F20" s="223"/>
      <c r="G20" s="224"/>
      <c r="H20" s="8"/>
      <c r="I20" s="185"/>
      <c r="J20" s="185"/>
      <c r="K20" s="185"/>
      <c r="L20" s="185"/>
      <c r="M20" s="18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90"/>
      <c r="B21" s="225"/>
      <c r="C21" s="122"/>
      <c r="D21" s="122"/>
      <c r="E21" s="122"/>
      <c r="F21" s="123"/>
      <c r="G21" s="226">
        <f>SUM(D6:D20,G6:G20)</f>
        <v>2867.73</v>
      </c>
      <c r="H21" s="8"/>
      <c r="I21" s="185"/>
      <c r="J21" s="185"/>
      <c r="K21" s="185"/>
      <c r="L21" s="185"/>
      <c r="M21" s="18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90"/>
      <c r="B22" s="191" t="s">
        <v>58</v>
      </c>
      <c r="C22" s="35"/>
      <c r="D22" s="37"/>
      <c r="E22" s="192">
        <f>'CABEÇALHO'!I7</f>
        <v>2026</v>
      </c>
      <c r="F22" s="35"/>
      <c r="G22" s="3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227"/>
    </row>
    <row r="23" ht="15.75" customHeight="1">
      <c r="A23" s="190"/>
      <c r="B23" s="228" t="s">
        <v>117</v>
      </c>
      <c r="C23" s="229" t="s">
        <v>114</v>
      </c>
      <c r="D23" s="230" t="s">
        <v>118</v>
      </c>
      <c r="E23" s="231"/>
      <c r="F23" s="232"/>
      <c r="G23" s="233"/>
      <c r="H23" s="8"/>
      <c r="I23" s="203"/>
      <c r="J23" s="123"/>
      <c r="K23" s="204"/>
      <c r="L23" s="185"/>
      <c r="M23" s="185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190"/>
      <c r="B24" s="205">
        <v>46064.0</v>
      </c>
      <c r="C24" s="206" t="s">
        <v>119</v>
      </c>
      <c r="D24" s="207">
        <v>208.55</v>
      </c>
      <c r="E24" s="212"/>
      <c r="F24" s="213"/>
      <c r="G24" s="214"/>
      <c r="H24" s="185"/>
      <c r="I24" s="210"/>
      <c r="J24" s="123"/>
      <c r="K24" s="189"/>
      <c r="L24" s="185"/>
      <c r="M24" s="185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90"/>
      <c r="B25" s="205">
        <v>46064.0</v>
      </c>
      <c r="C25" s="206" t="s">
        <v>119</v>
      </c>
      <c r="D25" s="207">
        <v>38.0</v>
      </c>
      <c r="E25" s="212"/>
      <c r="F25" s="213"/>
      <c r="G25" s="214"/>
      <c r="H25" s="185"/>
      <c r="I25" s="180"/>
      <c r="J25" s="123"/>
      <c r="K25" s="189"/>
      <c r="L25" s="185"/>
      <c r="M25" s="185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90"/>
      <c r="B26" s="205">
        <v>46063.0</v>
      </c>
      <c r="C26" s="206" t="s">
        <v>119</v>
      </c>
      <c r="D26" s="207">
        <v>273.65</v>
      </c>
      <c r="E26" s="212"/>
      <c r="F26" s="213"/>
      <c r="G26" s="214"/>
      <c r="H26" s="185"/>
      <c r="I26" s="180"/>
      <c r="J26" s="123"/>
      <c r="K26" s="189"/>
      <c r="L26" s="185"/>
      <c r="M26" s="18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190"/>
      <c r="B27" s="205">
        <v>46065.0</v>
      </c>
      <c r="C27" s="206" t="s">
        <v>119</v>
      </c>
      <c r="D27" s="207">
        <v>298.0</v>
      </c>
      <c r="E27" s="212"/>
      <c r="F27" s="213"/>
      <c r="G27" s="214"/>
      <c r="H27" s="185"/>
      <c r="I27" s="180"/>
      <c r="J27" s="123"/>
      <c r="K27" s="189"/>
      <c r="L27" s="185"/>
      <c r="M27" s="185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90"/>
      <c r="B28" s="205">
        <v>46065.0</v>
      </c>
      <c r="C28" s="206" t="s">
        <v>119</v>
      </c>
      <c r="D28" s="207">
        <v>258.4</v>
      </c>
      <c r="E28" s="212"/>
      <c r="F28" s="213"/>
      <c r="G28" s="214"/>
      <c r="H28" s="185"/>
      <c r="I28" s="215"/>
      <c r="J28" s="123"/>
      <c r="K28" s="211"/>
      <c r="L28" s="185"/>
      <c r="M28" s="185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90"/>
      <c r="B29" s="205">
        <v>46063.0</v>
      </c>
      <c r="C29" s="206" t="s">
        <v>119</v>
      </c>
      <c r="D29" s="207">
        <v>231.9</v>
      </c>
      <c r="E29" s="212"/>
      <c r="F29" s="213"/>
      <c r="G29" s="214"/>
      <c r="H29" s="185"/>
      <c r="I29" s="215"/>
      <c r="J29" s="123"/>
      <c r="K29" s="211"/>
      <c r="L29" s="185"/>
      <c r="M29" s="185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190"/>
      <c r="B30" s="205">
        <v>46063.0</v>
      </c>
      <c r="C30" s="206" t="s">
        <v>119</v>
      </c>
      <c r="D30" s="207">
        <v>220.8</v>
      </c>
      <c r="E30" s="212"/>
      <c r="F30" s="213"/>
      <c r="G30" s="214"/>
      <c r="H30" s="185"/>
      <c r="I30" s="215"/>
      <c r="J30" s="123"/>
      <c r="K30" s="211"/>
      <c r="L30" s="185"/>
      <c r="M30" s="185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90"/>
      <c r="B31" s="205">
        <v>46057.0</v>
      </c>
      <c r="C31" s="206" t="s">
        <v>100</v>
      </c>
      <c r="D31" s="207">
        <v>64.72</v>
      </c>
      <c r="E31" s="212"/>
      <c r="F31" s="213"/>
      <c r="G31" s="214"/>
      <c r="H31" s="185"/>
      <c r="I31" s="203"/>
      <c r="J31" s="123"/>
      <c r="K31" s="216"/>
      <c r="L31" s="185"/>
      <c r="M31" s="18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90"/>
      <c r="B32" s="205">
        <v>46063.0</v>
      </c>
      <c r="C32" s="206" t="s">
        <v>100</v>
      </c>
      <c r="D32" s="207">
        <v>40.41</v>
      </c>
      <c r="E32" s="212"/>
      <c r="F32" s="213"/>
      <c r="G32" s="214"/>
      <c r="H32" s="185"/>
      <c r="I32" s="203"/>
      <c r="J32" s="123"/>
      <c r="K32" s="216"/>
      <c r="L32" s="185"/>
      <c r="M32" s="185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90"/>
      <c r="B33" s="212"/>
      <c r="C33" s="234"/>
      <c r="D33" s="235"/>
      <c r="E33" s="212"/>
      <c r="F33" s="213"/>
      <c r="G33" s="214"/>
      <c r="H33" s="185"/>
      <c r="I33" s="203"/>
      <c r="J33" s="123"/>
      <c r="K33" s="216"/>
      <c r="L33" s="185"/>
      <c r="M33" s="185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90"/>
      <c r="B34" s="212"/>
      <c r="C34" s="234"/>
      <c r="D34" s="235"/>
      <c r="E34" s="212"/>
      <c r="F34" s="213"/>
      <c r="G34" s="214"/>
      <c r="H34" s="185"/>
      <c r="I34" s="203"/>
      <c r="J34" s="123"/>
      <c r="K34" s="216"/>
      <c r="L34" s="185"/>
      <c r="M34" s="185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90"/>
      <c r="B35" s="212"/>
      <c r="C35" s="234"/>
      <c r="D35" s="235"/>
      <c r="E35" s="212"/>
      <c r="F35" s="213"/>
      <c r="G35" s="214"/>
      <c r="H35" s="8"/>
      <c r="I35" s="217"/>
      <c r="J35" s="123"/>
      <c r="K35" s="218"/>
      <c r="L35" s="185"/>
      <c r="M35" s="185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90"/>
      <c r="B36" s="212"/>
      <c r="C36" s="234"/>
      <c r="D36" s="235"/>
      <c r="E36" s="212"/>
      <c r="F36" s="213"/>
      <c r="G36" s="214"/>
      <c r="H36" s="8"/>
      <c r="I36" s="185"/>
      <c r="J36" s="185"/>
      <c r="K36" s="185"/>
      <c r="L36" s="185"/>
      <c r="M36" s="185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90"/>
      <c r="B37" s="222"/>
      <c r="C37" s="237"/>
      <c r="D37" s="238"/>
      <c r="E37" s="222"/>
      <c r="F37" s="223"/>
      <c r="G37" s="224"/>
      <c r="H37" s="8"/>
      <c r="I37" s="185"/>
      <c r="J37" s="185"/>
      <c r="K37" s="185"/>
      <c r="L37" s="185"/>
      <c r="M37" s="185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90"/>
      <c r="B38" s="239"/>
      <c r="C38" s="122"/>
      <c r="D38" s="122"/>
      <c r="E38" s="122"/>
      <c r="F38" s="123"/>
      <c r="G38" s="242">
        <f>SUM(D23:D37,G23:G37)</f>
        <v>1634.43</v>
      </c>
      <c r="H38" s="8"/>
      <c r="I38" s="185"/>
      <c r="J38" s="185"/>
      <c r="K38" s="185"/>
      <c r="L38" s="185"/>
      <c r="M38" s="185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90"/>
      <c r="B39" s="191" t="s">
        <v>70</v>
      </c>
      <c r="C39" s="35"/>
      <c r="D39" s="37"/>
      <c r="E39" s="192">
        <f>'CABEÇALHO'!I7</f>
        <v>2026</v>
      </c>
      <c r="F39" s="35"/>
      <c r="G39" s="3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27"/>
    </row>
    <row r="40" ht="15.75" customHeight="1">
      <c r="A40" s="190"/>
      <c r="B40" s="246" t="s">
        <v>120</v>
      </c>
      <c r="C40" s="247" t="s">
        <v>78</v>
      </c>
      <c r="D40" s="248">
        <v>71.37</v>
      </c>
      <c r="E40" s="231"/>
      <c r="F40" s="232"/>
      <c r="G40" s="233"/>
      <c r="H40" s="8"/>
      <c r="I40" s="203"/>
      <c r="J40" s="123"/>
      <c r="K40" s="204"/>
      <c r="L40" s="185"/>
      <c r="M40" s="18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90"/>
      <c r="B41" s="249" t="s">
        <v>120</v>
      </c>
      <c r="C41" s="250" t="s">
        <v>77</v>
      </c>
      <c r="D41" s="235">
        <v>148.11</v>
      </c>
      <c r="E41" s="212"/>
      <c r="F41" s="213"/>
      <c r="G41" s="214"/>
      <c r="H41" s="185"/>
      <c r="I41" s="210"/>
      <c r="J41" s="123"/>
      <c r="K41" s="189"/>
      <c r="L41" s="185"/>
      <c r="M41" s="185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90"/>
      <c r="B42" s="251" t="s">
        <v>121</v>
      </c>
      <c r="C42" s="252" t="s">
        <v>116</v>
      </c>
      <c r="D42" s="235">
        <v>172.7</v>
      </c>
      <c r="E42" s="212"/>
      <c r="F42" s="213"/>
      <c r="G42" s="214"/>
      <c r="H42" s="185"/>
      <c r="I42" s="180"/>
      <c r="J42" s="123"/>
      <c r="K42" s="189"/>
      <c r="L42" s="185"/>
      <c r="M42" s="18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90"/>
      <c r="B43" s="249" t="s">
        <v>121</v>
      </c>
      <c r="C43" s="250" t="s">
        <v>116</v>
      </c>
      <c r="D43" s="235">
        <v>143.7</v>
      </c>
      <c r="E43" s="212"/>
      <c r="F43" s="213"/>
      <c r="G43" s="214"/>
      <c r="H43" s="185"/>
      <c r="I43" s="180"/>
      <c r="J43" s="123"/>
      <c r="K43" s="189"/>
      <c r="L43" s="185"/>
      <c r="M43" s="185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90"/>
      <c r="B44" s="251" t="s">
        <v>121</v>
      </c>
      <c r="C44" s="252" t="s">
        <v>116</v>
      </c>
      <c r="D44" s="235">
        <v>137.3</v>
      </c>
      <c r="E44" s="212"/>
      <c r="F44" s="213"/>
      <c r="G44" s="214"/>
      <c r="H44" s="185"/>
      <c r="I44" s="180"/>
      <c r="J44" s="123"/>
      <c r="K44" s="189"/>
      <c r="L44" s="185"/>
      <c r="M44" s="185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90"/>
      <c r="B45" s="249" t="s">
        <v>121</v>
      </c>
      <c r="C45" s="250" t="s">
        <v>116</v>
      </c>
      <c r="D45" s="235">
        <v>126.2</v>
      </c>
      <c r="E45" s="212"/>
      <c r="F45" s="213"/>
      <c r="G45" s="214"/>
      <c r="H45" s="185"/>
      <c r="I45" s="215"/>
      <c r="J45" s="123"/>
      <c r="K45" s="211"/>
      <c r="L45" s="185"/>
      <c r="M45" s="18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90"/>
      <c r="B46" s="251" t="s">
        <v>121</v>
      </c>
      <c r="C46" s="252" t="s">
        <v>116</v>
      </c>
      <c r="D46" s="235">
        <v>102.95</v>
      </c>
      <c r="E46" s="212"/>
      <c r="F46" s="213"/>
      <c r="G46" s="214"/>
      <c r="H46" s="185"/>
      <c r="I46" s="215"/>
      <c r="J46" s="123"/>
      <c r="K46" s="211"/>
      <c r="L46" s="185"/>
      <c r="M46" s="185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90"/>
      <c r="B47" s="251" t="s">
        <v>121</v>
      </c>
      <c r="C47" s="250" t="s">
        <v>116</v>
      </c>
      <c r="D47" s="235">
        <v>224.7</v>
      </c>
      <c r="E47" s="212"/>
      <c r="F47" s="213"/>
      <c r="G47" s="214"/>
      <c r="H47" s="185"/>
      <c r="I47" s="215"/>
      <c r="J47" s="123"/>
      <c r="K47" s="211"/>
      <c r="L47" s="185"/>
      <c r="M47" s="185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190"/>
      <c r="B48" s="253">
        <v>46104.0</v>
      </c>
      <c r="C48" s="252" t="s">
        <v>116</v>
      </c>
      <c r="D48" s="235">
        <v>211.45</v>
      </c>
      <c r="E48" s="212"/>
      <c r="F48" s="213"/>
      <c r="G48" s="214"/>
      <c r="H48" s="185"/>
      <c r="I48" s="203"/>
      <c r="J48" s="123"/>
      <c r="K48" s="216"/>
      <c r="L48" s="185"/>
      <c r="M48" s="185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90"/>
      <c r="B49" s="253">
        <v>46109.0</v>
      </c>
      <c r="C49" s="206" t="s">
        <v>116</v>
      </c>
      <c r="D49" s="207">
        <v>277.0</v>
      </c>
      <c r="E49" s="212"/>
      <c r="F49" s="213"/>
      <c r="G49" s="214"/>
      <c r="H49" s="185"/>
      <c r="I49" s="203"/>
      <c r="J49" s="123"/>
      <c r="K49" s="216"/>
      <c r="L49" s="185"/>
      <c r="M49" s="18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90"/>
      <c r="B50" s="212"/>
      <c r="C50" s="234"/>
      <c r="D50" s="235"/>
      <c r="E50" s="212"/>
      <c r="F50" s="213"/>
      <c r="G50" s="214"/>
      <c r="H50" s="185"/>
      <c r="I50" s="203"/>
      <c r="J50" s="123"/>
      <c r="K50" s="216"/>
      <c r="L50" s="185"/>
      <c r="M50" s="18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190"/>
      <c r="B51" s="212"/>
      <c r="C51" s="234"/>
      <c r="D51" s="235"/>
      <c r="E51" s="212"/>
      <c r="F51" s="213"/>
      <c r="G51" s="214"/>
      <c r="H51" s="185"/>
      <c r="I51" s="203"/>
      <c r="J51" s="123"/>
      <c r="K51" s="216"/>
      <c r="L51" s="185"/>
      <c r="M51" s="18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90"/>
      <c r="B52" s="212"/>
      <c r="C52" s="234"/>
      <c r="D52" s="235"/>
      <c r="E52" s="212"/>
      <c r="F52" s="213"/>
      <c r="G52" s="214"/>
      <c r="H52" s="8"/>
      <c r="I52" s="217"/>
      <c r="J52" s="123"/>
      <c r="K52" s="218"/>
      <c r="L52" s="185"/>
      <c r="M52" s="18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90"/>
      <c r="B53" s="212"/>
      <c r="C53" s="234"/>
      <c r="D53" s="235"/>
      <c r="E53" s="212"/>
      <c r="F53" s="213"/>
      <c r="G53" s="214"/>
      <c r="H53" s="8"/>
      <c r="I53" s="185"/>
      <c r="J53" s="185"/>
      <c r="K53" s="185"/>
      <c r="L53" s="185"/>
      <c r="M53" s="18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190"/>
      <c r="B54" s="222"/>
      <c r="C54" s="237"/>
      <c r="D54" s="238"/>
      <c r="E54" s="222"/>
      <c r="F54" s="223"/>
      <c r="G54" s="224"/>
      <c r="H54" s="8"/>
      <c r="I54" s="185"/>
      <c r="J54" s="185"/>
      <c r="K54" s="185"/>
      <c r="L54" s="185"/>
      <c r="M54" s="18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90"/>
      <c r="B55" s="239"/>
      <c r="C55" s="122"/>
      <c r="D55" s="122"/>
      <c r="E55" s="122"/>
      <c r="F55" s="123"/>
      <c r="G55" s="242">
        <f>SUM(D40:D54,G40:G54)</f>
        <v>1615.48</v>
      </c>
      <c r="H55" s="8"/>
      <c r="I55" s="185"/>
      <c r="J55" s="185"/>
      <c r="K55" s="185"/>
      <c r="L55" s="185"/>
      <c r="M55" s="185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90"/>
      <c r="B56" s="191" t="s">
        <v>80</v>
      </c>
      <c r="C56" s="35"/>
      <c r="D56" s="37"/>
      <c r="E56" s="192">
        <f>'CABEÇALHO'!I7</f>
        <v>2026</v>
      </c>
      <c r="F56" s="35"/>
      <c r="G56" s="3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227"/>
    </row>
    <row r="57" ht="15.75" customHeight="1">
      <c r="A57" s="190"/>
      <c r="B57" s="254">
        <v>46129.0</v>
      </c>
      <c r="C57" s="229" t="s">
        <v>116</v>
      </c>
      <c r="D57" s="255">
        <v>107.8</v>
      </c>
      <c r="E57" s="256"/>
      <c r="F57" s="257"/>
      <c r="G57" s="258"/>
      <c r="H57" s="8"/>
      <c r="I57" s="203"/>
      <c r="J57" s="123"/>
      <c r="K57" s="204"/>
      <c r="L57" s="185"/>
      <c r="M57" s="185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90"/>
      <c r="B58" s="205">
        <v>46119.0</v>
      </c>
      <c r="C58" s="206" t="s">
        <v>116</v>
      </c>
      <c r="D58" s="259">
        <v>293.1</v>
      </c>
      <c r="E58" s="260"/>
      <c r="F58" s="213"/>
      <c r="G58" s="214"/>
      <c r="H58" s="185"/>
      <c r="I58" s="210"/>
      <c r="J58" s="123"/>
      <c r="K58" s="189"/>
      <c r="L58" s="185"/>
      <c r="M58" s="185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190"/>
      <c r="B59" s="205">
        <v>46119.0</v>
      </c>
      <c r="C59" s="206" t="s">
        <v>116</v>
      </c>
      <c r="D59" s="259">
        <v>239.0</v>
      </c>
      <c r="E59" s="260"/>
      <c r="F59" s="213"/>
      <c r="G59" s="214"/>
      <c r="H59" s="185"/>
      <c r="I59" s="180"/>
      <c r="J59" s="123"/>
      <c r="K59" s="189"/>
      <c r="L59" s="185"/>
      <c r="M59" s="185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90"/>
      <c r="B60" s="205">
        <v>46129.0</v>
      </c>
      <c r="C60" s="206" t="s">
        <v>116</v>
      </c>
      <c r="D60" s="259">
        <v>248.0</v>
      </c>
      <c r="E60" s="260"/>
      <c r="F60" s="213"/>
      <c r="G60" s="214"/>
      <c r="H60" s="185"/>
      <c r="I60" s="180"/>
      <c r="J60" s="123"/>
      <c r="K60" s="189"/>
      <c r="L60" s="185"/>
      <c r="M60" s="185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90"/>
      <c r="B61" s="205">
        <v>46129.0</v>
      </c>
      <c r="C61" s="206" t="s">
        <v>116</v>
      </c>
      <c r="D61" s="259">
        <v>188.0</v>
      </c>
      <c r="E61" s="260"/>
      <c r="F61" s="213"/>
      <c r="G61" s="214"/>
      <c r="H61" s="185"/>
      <c r="I61" s="180"/>
      <c r="J61" s="123"/>
      <c r="K61" s="189"/>
      <c r="L61" s="185"/>
      <c r="M61" s="185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90"/>
      <c r="B62" s="205">
        <v>46129.0</v>
      </c>
      <c r="C62" s="206" t="s">
        <v>116</v>
      </c>
      <c r="D62" s="259">
        <v>289.3</v>
      </c>
      <c r="E62" s="260"/>
      <c r="F62" s="213"/>
      <c r="G62" s="214"/>
      <c r="H62" s="185"/>
      <c r="I62" s="215"/>
      <c r="J62" s="123"/>
      <c r="K62" s="211"/>
      <c r="L62" s="185"/>
      <c r="M62" s="185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90"/>
      <c r="B63" s="205">
        <v>46129.0</v>
      </c>
      <c r="C63" s="206" t="s">
        <v>116</v>
      </c>
      <c r="D63" s="259">
        <v>311.3</v>
      </c>
      <c r="E63" s="260"/>
      <c r="F63" s="213"/>
      <c r="G63" s="214"/>
      <c r="H63" s="185"/>
      <c r="I63" s="215"/>
      <c r="J63" s="123"/>
      <c r="K63" s="211"/>
      <c r="L63" s="185"/>
      <c r="M63" s="185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90"/>
      <c r="B64" s="212"/>
      <c r="C64" s="234"/>
      <c r="D64" s="261"/>
      <c r="E64" s="260"/>
      <c r="F64" s="213"/>
      <c r="G64" s="214"/>
      <c r="H64" s="185"/>
      <c r="I64" s="215"/>
      <c r="J64" s="123"/>
      <c r="K64" s="211"/>
      <c r="L64" s="185"/>
      <c r="M64" s="185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90"/>
      <c r="B65" s="212"/>
      <c r="C65" s="234"/>
      <c r="D65" s="261"/>
      <c r="E65" s="260"/>
      <c r="F65" s="213"/>
      <c r="G65" s="214"/>
      <c r="H65" s="185"/>
      <c r="I65" s="203"/>
      <c r="J65" s="123"/>
      <c r="K65" s="216"/>
      <c r="L65" s="185"/>
      <c r="M65" s="185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90"/>
      <c r="B66" s="212"/>
      <c r="C66" s="234"/>
      <c r="D66" s="261"/>
      <c r="E66" s="260"/>
      <c r="F66" s="213"/>
      <c r="G66" s="214"/>
      <c r="H66" s="185"/>
      <c r="I66" s="203"/>
      <c r="J66" s="123"/>
      <c r="K66" s="216"/>
      <c r="L66" s="185"/>
      <c r="M66" s="185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90"/>
      <c r="B67" s="212"/>
      <c r="C67" s="234"/>
      <c r="D67" s="261"/>
      <c r="E67" s="260"/>
      <c r="F67" s="213"/>
      <c r="G67" s="214"/>
      <c r="H67" s="185"/>
      <c r="I67" s="203"/>
      <c r="J67" s="123"/>
      <c r="K67" s="216"/>
      <c r="L67" s="185"/>
      <c r="M67" s="185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90"/>
      <c r="B68" s="212"/>
      <c r="C68" s="234"/>
      <c r="D68" s="261"/>
      <c r="E68" s="260"/>
      <c r="F68" s="213"/>
      <c r="G68" s="214"/>
      <c r="H68" s="185"/>
      <c r="I68" s="203"/>
      <c r="J68" s="123"/>
      <c r="K68" s="216"/>
      <c r="L68" s="185"/>
      <c r="M68" s="185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90"/>
      <c r="B69" s="212"/>
      <c r="C69" s="234"/>
      <c r="D69" s="261"/>
      <c r="E69" s="260"/>
      <c r="F69" s="213"/>
      <c r="G69" s="214"/>
      <c r="H69" s="8"/>
      <c r="I69" s="217"/>
      <c r="J69" s="123"/>
      <c r="K69" s="218"/>
      <c r="L69" s="185"/>
      <c r="M69" s="185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90"/>
      <c r="B70" s="212"/>
      <c r="C70" s="234"/>
      <c r="D70" s="261"/>
      <c r="E70" s="260"/>
      <c r="F70" s="213"/>
      <c r="G70" s="214"/>
      <c r="H70" s="8"/>
      <c r="I70" s="185"/>
      <c r="J70" s="185"/>
      <c r="K70" s="185"/>
      <c r="L70" s="185"/>
      <c r="M70" s="185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90"/>
      <c r="B71" s="222"/>
      <c r="C71" s="237"/>
      <c r="D71" s="262"/>
      <c r="E71" s="263"/>
      <c r="F71" s="223"/>
      <c r="G71" s="224"/>
      <c r="H71" s="8"/>
      <c r="I71" s="185"/>
      <c r="J71" s="185"/>
      <c r="K71" s="185"/>
      <c r="L71" s="185"/>
      <c r="M71" s="185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90"/>
      <c r="B72" s="239"/>
      <c r="C72" s="122"/>
      <c r="D72" s="122"/>
      <c r="E72" s="122"/>
      <c r="F72" s="123"/>
      <c r="G72" s="242">
        <f>SUM(D57:D71,G57:G71)</f>
        <v>1676.5</v>
      </c>
      <c r="H72" s="8"/>
      <c r="I72" s="185"/>
      <c r="J72" s="185"/>
      <c r="K72" s="185"/>
      <c r="L72" s="185"/>
      <c r="M72" s="185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90"/>
      <c r="B73" s="191" t="s">
        <v>85</v>
      </c>
      <c r="C73" s="35"/>
      <c r="D73" s="37"/>
      <c r="E73" s="192">
        <f>'CABEÇALHO'!I7</f>
        <v>2026</v>
      </c>
      <c r="F73" s="35"/>
      <c r="G73" s="3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227"/>
    </row>
    <row r="74" ht="15.75" customHeight="1">
      <c r="A74" s="190"/>
      <c r="B74" s="231" t="s">
        <v>122</v>
      </c>
      <c r="C74" s="264" t="s">
        <v>116</v>
      </c>
      <c r="D74" s="265">
        <v>370.0</v>
      </c>
      <c r="E74" s="256"/>
      <c r="F74" s="257"/>
      <c r="G74" s="258"/>
      <c r="H74" s="8"/>
      <c r="I74" s="203"/>
      <c r="J74" s="123"/>
      <c r="K74" s="204"/>
      <c r="L74" s="185"/>
      <c r="M74" s="185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90"/>
      <c r="B75" s="212" t="s">
        <v>122</v>
      </c>
      <c r="C75" s="234" t="s">
        <v>116</v>
      </c>
      <c r="D75" s="261">
        <v>258.0</v>
      </c>
      <c r="E75" s="260"/>
      <c r="F75" s="213"/>
      <c r="G75" s="214"/>
      <c r="H75" s="185"/>
      <c r="I75" s="210"/>
      <c r="J75" s="123"/>
      <c r="K75" s="189"/>
      <c r="L75" s="185"/>
      <c r="M75" s="18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90"/>
      <c r="B76" s="212" t="s">
        <v>122</v>
      </c>
      <c r="C76" s="234" t="s">
        <v>116</v>
      </c>
      <c r="D76" s="261">
        <v>299.25</v>
      </c>
      <c r="E76" s="260"/>
      <c r="F76" s="213"/>
      <c r="G76" s="214"/>
      <c r="H76" s="185"/>
      <c r="I76" s="180"/>
      <c r="J76" s="123"/>
      <c r="K76" s="189"/>
      <c r="L76" s="185"/>
      <c r="M76" s="185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90"/>
      <c r="B77" s="212" t="s">
        <v>122</v>
      </c>
      <c r="C77" s="234" t="s">
        <v>116</v>
      </c>
      <c r="D77" s="261">
        <v>246.9</v>
      </c>
      <c r="E77" s="260"/>
      <c r="F77" s="213"/>
      <c r="G77" s="214"/>
      <c r="H77" s="185"/>
      <c r="I77" s="180"/>
      <c r="J77" s="123"/>
      <c r="K77" s="189"/>
      <c r="L77" s="185"/>
      <c r="M77" s="185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90"/>
      <c r="B78" s="212" t="s">
        <v>123</v>
      </c>
      <c r="C78" s="234" t="s">
        <v>116</v>
      </c>
      <c r="D78" s="261">
        <v>310.1</v>
      </c>
      <c r="E78" s="260"/>
      <c r="F78" s="213"/>
      <c r="G78" s="214"/>
      <c r="H78" s="185"/>
      <c r="I78" s="180"/>
      <c r="J78" s="123"/>
      <c r="K78" s="189"/>
      <c r="L78" s="185"/>
      <c r="M78" s="185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90"/>
      <c r="B79" s="212" t="s">
        <v>124</v>
      </c>
      <c r="C79" s="234" t="s">
        <v>116</v>
      </c>
      <c r="D79" s="261">
        <v>257.1</v>
      </c>
      <c r="E79" s="260"/>
      <c r="F79" s="213"/>
      <c r="G79" s="214"/>
      <c r="H79" s="185"/>
      <c r="I79" s="215"/>
      <c r="J79" s="123"/>
      <c r="K79" s="211"/>
      <c r="L79" s="185"/>
      <c r="M79" s="185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90"/>
      <c r="B80" s="212" t="s">
        <v>124</v>
      </c>
      <c r="C80" s="234" t="s">
        <v>116</v>
      </c>
      <c r="D80" s="261">
        <v>242.2</v>
      </c>
      <c r="E80" s="260"/>
      <c r="F80" s="213"/>
      <c r="G80" s="214"/>
      <c r="H80" s="185"/>
      <c r="I80" s="215"/>
      <c r="J80" s="123"/>
      <c r="K80" s="211"/>
      <c r="L80" s="185"/>
      <c r="M80" s="185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90"/>
      <c r="B81" s="212"/>
      <c r="C81" s="234"/>
      <c r="D81" s="261"/>
      <c r="E81" s="260"/>
      <c r="F81" s="213"/>
      <c r="G81" s="214"/>
      <c r="H81" s="185"/>
      <c r="I81" s="215"/>
      <c r="J81" s="123"/>
      <c r="K81" s="211"/>
      <c r="L81" s="185"/>
      <c r="M81" s="185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90"/>
      <c r="B82" s="212"/>
      <c r="C82" s="234"/>
      <c r="D82" s="261"/>
      <c r="E82" s="260"/>
      <c r="F82" s="213"/>
      <c r="G82" s="214"/>
      <c r="H82" s="185"/>
      <c r="I82" s="203"/>
      <c r="J82" s="123"/>
      <c r="K82" s="216"/>
      <c r="L82" s="185"/>
      <c r="M82" s="185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90"/>
      <c r="B83" s="212"/>
      <c r="C83" s="234"/>
      <c r="D83" s="261"/>
      <c r="E83" s="260"/>
      <c r="F83" s="213"/>
      <c r="G83" s="214"/>
      <c r="H83" s="185"/>
      <c r="I83" s="203"/>
      <c r="J83" s="123"/>
      <c r="K83" s="216"/>
      <c r="L83" s="185"/>
      <c r="M83" s="185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90"/>
      <c r="B84" s="212"/>
      <c r="C84" s="234"/>
      <c r="D84" s="261"/>
      <c r="E84" s="260"/>
      <c r="F84" s="213"/>
      <c r="G84" s="214"/>
      <c r="H84" s="185"/>
      <c r="I84" s="203"/>
      <c r="J84" s="123"/>
      <c r="K84" s="216"/>
      <c r="L84" s="185"/>
      <c r="M84" s="185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90"/>
      <c r="B85" s="212"/>
      <c r="C85" s="234"/>
      <c r="D85" s="261"/>
      <c r="E85" s="260"/>
      <c r="F85" s="213"/>
      <c r="G85" s="214"/>
      <c r="H85" s="185"/>
      <c r="I85" s="203"/>
      <c r="J85" s="123"/>
      <c r="K85" s="216"/>
      <c r="L85" s="185"/>
      <c r="M85" s="185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190"/>
      <c r="B86" s="212"/>
      <c r="C86" s="234"/>
      <c r="D86" s="261"/>
      <c r="E86" s="260"/>
      <c r="F86" s="213"/>
      <c r="G86" s="214"/>
      <c r="H86" s="8"/>
      <c r="I86" s="217"/>
      <c r="J86" s="123"/>
      <c r="K86" s="218"/>
      <c r="L86" s="185"/>
      <c r="M86" s="185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90"/>
      <c r="B87" s="212"/>
      <c r="C87" s="234"/>
      <c r="D87" s="261"/>
      <c r="E87" s="260"/>
      <c r="F87" s="213"/>
      <c r="G87" s="214"/>
      <c r="H87" s="8"/>
      <c r="I87" s="185"/>
      <c r="J87" s="185"/>
      <c r="K87" s="185"/>
      <c r="L87" s="185"/>
      <c r="M87" s="185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90"/>
      <c r="B88" s="222"/>
      <c r="C88" s="237"/>
      <c r="D88" s="262"/>
      <c r="E88" s="263"/>
      <c r="F88" s="223"/>
      <c r="G88" s="224"/>
      <c r="H88" s="8"/>
      <c r="I88" s="185"/>
      <c r="J88" s="185"/>
      <c r="K88" s="185"/>
      <c r="L88" s="185"/>
      <c r="M88" s="185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90"/>
      <c r="B89" s="239"/>
      <c r="C89" s="122"/>
      <c r="D89" s="122"/>
      <c r="E89" s="122"/>
      <c r="F89" s="123"/>
      <c r="G89" s="242">
        <f>SUM(D74:D88,G74:G88)</f>
        <v>1983.55</v>
      </c>
      <c r="H89" s="8"/>
      <c r="I89" s="185"/>
      <c r="J89" s="185"/>
      <c r="K89" s="185"/>
      <c r="L89" s="185"/>
      <c r="M89" s="185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90"/>
      <c r="B90" s="191" t="s">
        <v>89</v>
      </c>
      <c r="C90" s="35"/>
      <c r="D90" s="37"/>
      <c r="E90" s="192">
        <f>'CABEÇALHO'!I7</f>
        <v>2026</v>
      </c>
      <c r="F90" s="35"/>
      <c r="G90" s="3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227"/>
    </row>
    <row r="91" ht="15.75" customHeight="1">
      <c r="A91" s="190"/>
      <c r="B91" s="254">
        <v>46203.0</v>
      </c>
      <c r="C91" s="229" t="s">
        <v>125</v>
      </c>
      <c r="D91" s="255">
        <v>274.75</v>
      </c>
      <c r="E91" s="256"/>
      <c r="F91" s="257"/>
      <c r="G91" s="258"/>
      <c r="H91" s="8"/>
      <c r="I91" s="203"/>
      <c r="J91" s="123"/>
      <c r="K91" s="204"/>
      <c r="L91" s="185"/>
      <c r="M91" s="185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90"/>
      <c r="B92" s="205">
        <v>46203.0</v>
      </c>
      <c r="C92" s="206" t="s">
        <v>126</v>
      </c>
      <c r="D92" s="259">
        <v>130.0</v>
      </c>
      <c r="E92" s="260"/>
      <c r="F92" s="213"/>
      <c r="G92" s="214"/>
      <c r="H92" s="185"/>
      <c r="I92" s="210"/>
      <c r="J92" s="123"/>
      <c r="K92" s="189"/>
      <c r="L92" s="185"/>
      <c r="M92" s="185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90"/>
      <c r="B93" s="205">
        <v>46233.0</v>
      </c>
      <c r="C93" s="206" t="s">
        <v>127</v>
      </c>
      <c r="D93" s="259">
        <v>43.0</v>
      </c>
      <c r="E93" s="260"/>
      <c r="F93" s="213"/>
      <c r="G93" s="214"/>
      <c r="H93" s="185"/>
      <c r="I93" s="180"/>
      <c r="J93" s="123"/>
      <c r="K93" s="189"/>
      <c r="L93" s="185"/>
      <c r="M93" s="185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90"/>
      <c r="B94" s="212"/>
      <c r="C94" s="234"/>
      <c r="D94" s="261"/>
      <c r="E94" s="260"/>
      <c r="F94" s="213"/>
      <c r="G94" s="214"/>
      <c r="H94" s="185"/>
      <c r="I94" s="180"/>
      <c r="J94" s="123"/>
      <c r="K94" s="189"/>
      <c r="L94" s="185"/>
      <c r="M94" s="185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90"/>
      <c r="B95" s="212"/>
      <c r="C95" s="234"/>
      <c r="D95" s="261"/>
      <c r="E95" s="260"/>
      <c r="F95" s="213"/>
      <c r="G95" s="214"/>
      <c r="H95" s="185"/>
      <c r="I95" s="180"/>
      <c r="J95" s="123"/>
      <c r="K95" s="189"/>
      <c r="L95" s="185"/>
      <c r="M95" s="185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90"/>
      <c r="B96" s="212"/>
      <c r="C96" s="234"/>
      <c r="D96" s="261"/>
      <c r="E96" s="260"/>
      <c r="F96" s="213"/>
      <c r="G96" s="214"/>
      <c r="H96" s="185"/>
      <c r="I96" s="215"/>
      <c r="J96" s="123"/>
      <c r="K96" s="211"/>
      <c r="L96" s="185"/>
      <c r="M96" s="185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90"/>
      <c r="B97" s="212"/>
      <c r="C97" s="234"/>
      <c r="D97" s="261"/>
      <c r="E97" s="260"/>
      <c r="F97" s="213"/>
      <c r="G97" s="214"/>
      <c r="H97" s="185"/>
      <c r="I97" s="215"/>
      <c r="J97" s="123"/>
      <c r="K97" s="211"/>
      <c r="L97" s="185"/>
      <c r="M97" s="185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90"/>
      <c r="B98" s="212"/>
      <c r="C98" s="234"/>
      <c r="D98" s="261"/>
      <c r="E98" s="260"/>
      <c r="F98" s="213"/>
      <c r="G98" s="214"/>
      <c r="H98" s="185"/>
      <c r="I98" s="215"/>
      <c r="J98" s="123"/>
      <c r="K98" s="211"/>
      <c r="L98" s="185"/>
      <c r="M98" s="185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90"/>
      <c r="B99" s="212"/>
      <c r="C99" s="234"/>
      <c r="D99" s="261"/>
      <c r="E99" s="260"/>
      <c r="F99" s="213"/>
      <c r="G99" s="214"/>
      <c r="H99" s="185"/>
      <c r="I99" s="203"/>
      <c r="J99" s="123"/>
      <c r="K99" s="216"/>
      <c r="L99" s="185"/>
      <c r="M99" s="185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90"/>
      <c r="B100" s="212"/>
      <c r="C100" s="234"/>
      <c r="D100" s="261"/>
      <c r="E100" s="260"/>
      <c r="F100" s="213"/>
      <c r="G100" s="214"/>
      <c r="H100" s="185"/>
      <c r="I100" s="203"/>
      <c r="J100" s="123"/>
      <c r="K100" s="216"/>
      <c r="L100" s="185"/>
      <c r="M100" s="18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90"/>
      <c r="B101" s="212"/>
      <c r="C101" s="234"/>
      <c r="D101" s="261"/>
      <c r="E101" s="260"/>
      <c r="F101" s="213"/>
      <c r="G101" s="214"/>
      <c r="H101" s="185"/>
      <c r="I101" s="203"/>
      <c r="J101" s="123"/>
      <c r="K101" s="216"/>
      <c r="L101" s="185"/>
      <c r="M101" s="185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90"/>
      <c r="B102" s="212"/>
      <c r="C102" s="234"/>
      <c r="D102" s="261"/>
      <c r="E102" s="260"/>
      <c r="F102" s="213"/>
      <c r="G102" s="214"/>
      <c r="H102" s="185"/>
      <c r="I102" s="203"/>
      <c r="J102" s="123"/>
      <c r="K102" s="216"/>
      <c r="L102" s="185"/>
      <c r="M102" s="185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90"/>
      <c r="B103" s="212"/>
      <c r="C103" s="234"/>
      <c r="D103" s="261"/>
      <c r="E103" s="260"/>
      <c r="F103" s="213"/>
      <c r="G103" s="214"/>
      <c r="H103" s="8"/>
      <c r="I103" s="217"/>
      <c r="J103" s="123"/>
      <c r="K103" s="218"/>
      <c r="L103" s="185"/>
      <c r="M103" s="185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90"/>
      <c r="B104" s="212"/>
      <c r="C104" s="234"/>
      <c r="D104" s="261"/>
      <c r="E104" s="260"/>
      <c r="F104" s="213"/>
      <c r="G104" s="214"/>
      <c r="H104" s="8"/>
      <c r="I104" s="185"/>
      <c r="J104" s="185"/>
      <c r="K104" s="185"/>
      <c r="L104" s="185"/>
      <c r="M104" s="185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90"/>
      <c r="B105" s="222"/>
      <c r="C105" s="237"/>
      <c r="D105" s="262"/>
      <c r="E105" s="263"/>
      <c r="F105" s="223"/>
      <c r="G105" s="224"/>
      <c r="H105" s="8"/>
      <c r="I105" s="185"/>
      <c r="J105" s="185"/>
      <c r="K105" s="185"/>
      <c r="L105" s="185"/>
      <c r="M105" s="185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90"/>
      <c r="B106" s="239"/>
      <c r="C106" s="122"/>
      <c r="D106" s="122"/>
      <c r="E106" s="122"/>
      <c r="F106" s="123"/>
      <c r="G106" s="242">
        <f>SUM(D91:D105,G91:G105)</f>
        <v>447.75</v>
      </c>
      <c r="H106" s="8"/>
      <c r="I106" s="185"/>
      <c r="J106" s="185"/>
      <c r="K106" s="185"/>
      <c r="L106" s="185"/>
      <c r="M106" s="185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90"/>
      <c r="B107" s="191" t="s">
        <v>91</v>
      </c>
      <c r="C107" s="35"/>
      <c r="D107" s="37"/>
      <c r="E107" s="192">
        <f>'CABEÇALHO'!I7</f>
        <v>2026</v>
      </c>
      <c r="F107" s="35"/>
      <c r="G107" s="3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227"/>
    </row>
    <row r="108" ht="15.75" customHeight="1">
      <c r="A108" s="190"/>
      <c r="B108" s="254">
        <v>46210.0</v>
      </c>
      <c r="C108" s="229" t="s">
        <v>125</v>
      </c>
      <c r="D108" s="255">
        <v>39.74</v>
      </c>
      <c r="E108" s="256"/>
      <c r="F108" s="257"/>
      <c r="G108" s="258"/>
      <c r="H108" s="8"/>
      <c r="I108" s="203"/>
      <c r="J108" s="123"/>
      <c r="K108" s="204"/>
      <c r="L108" s="185"/>
      <c r="M108" s="185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90"/>
      <c r="B109" s="205">
        <v>46212.0</v>
      </c>
      <c r="C109" s="206" t="s">
        <v>128</v>
      </c>
      <c r="D109" s="259">
        <v>28.97</v>
      </c>
      <c r="E109" s="260"/>
      <c r="F109" s="213"/>
      <c r="G109" s="214"/>
      <c r="H109" s="185"/>
      <c r="I109" s="210"/>
      <c r="J109" s="123"/>
      <c r="K109" s="189"/>
      <c r="L109" s="185"/>
      <c r="M109" s="185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190"/>
      <c r="B110" s="266">
        <v>46219.0</v>
      </c>
      <c r="C110" s="206" t="s">
        <v>125</v>
      </c>
      <c r="D110" s="259">
        <v>520.53</v>
      </c>
      <c r="E110" s="260"/>
      <c r="F110" s="213"/>
      <c r="G110" s="214"/>
      <c r="H110" s="185"/>
      <c r="I110" s="180"/>
      <c r="J110" s="123"/>
      <c r="K110" s="189"/>
      <c r="L110" s="185"/>
      <c r="M110" s="185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90"/>
      <c r="B111" s="205">
        <v>46216.0</v>
      </c>
      <c r="C111" s="206" t="s">
        <v>129</v>
      </c>
      <c r="D111" s="259">
        <v>268.79</v>
      </c>
      <c r="E111" s="260"/>
      <c r="F111" s="213"/>
      <c r="G111" s="214"/>
      <c r="H111" s="185"/>
      <c r="I111" s="180"/>
      <c r="J111" s="123"/>
      <c r="K111" s="189"/>
      <c r="L111" s="185"/>
      <c r="M111" s="185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90"/>
      <c r="B112" s="205">
        <v>46210.0</v>
      </c>
      <c r="C112" s="206" t="s">
        <v>130</v>
      </c>
      <c r="D112" s="259">
        <v>50.0</v>
      </c>
      <c r="E112" s="260"/>
      <c r="F112" s="213"/>
      <c r="G112" s="214"/>
      <c r="H112" s="185"/>
      <c r="I112" s="180"/>
      <c r="J112" s="123"/>
      <c r="K112" s="189"/>
      <c r="L112" s="185"/>
      <c r="M112" s="185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90"/>
      <c r="B113" s="205">
        <v>46230.0</v>
      </c>
      <c r="C113" s="206" t="s">
        <v>100</v>
      </c>
      <c r="D113" s="259">
        <v>78.0</v>
      </c>
      <c r="E113" s="260"/>
      <c r="F113" s="213"/>
      <c r="G113" s="214"/>
      <c r="H113" s="185"/>
      <c r="I113" s="215"/>
      <c r="J113" s="123"/>
      <c r="K113" s="211"/>
      <c r="L113" s="185"/>
      <c r="M113" s="185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90"/>
      <c r="B114" s="205">
        <v>46207.0</v>
      </c>
      <c r="C114" s="206" t="s">
        <v>131</v>
      </c>
      <c r="D114" s="259">
        <v>44.5</v>
      </c>
      <c r="E114" s="260"/>
      <c r="F114" s="213"/>
      <c r="G114" s="214"/>
      <c r="H114" s="185"/>
      <c r="I114" s="215"/>
      <c r="J114" s="123"/>
      <c r="K114" s="211"/>
      <c r="L114" s="185"/>
      <c r="M114" s="185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90"/>
      <c r="B115" s="205">
        <v>46219.0</v>
      </c>
      <c r="C115" s="206" t="s">
        <v>46</v>
      </c>
      <c r="D115" s="259">
        <v>150.04</v>
      </c>
      <c r="E115" s="260"/>
      <c r="F115" s="213"/>
      <c r="G115" s="214"/>
      <c r="H115" s="185"/>
      <c r="I115" s="215"/>
      <c r="J115" s="123"/>
      <c r="K115" s="211"/>
      <c r="L115" s="185"/>
      <c r="M115" s="185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90"/>
      <c r="B116" s="205">
        <v>46231.0</v>
      </c>
      <c r="C116" s="206" t="s">
        <v>132</v>
      </c>
      <c r="D116" s="259">
        <v>23.53</v>
      </c>
      <c r="E116" s="260"/>
      <c r="F116" s="213"/>
      <c r="G116" s="214"/>
      <c r="H116" s="185"/>
      <c r="I116" s="203"/>
      <c r="J116" s="123"/>
      <c r="K116" s="216"/>
      <c r="L116" s="185"/>
      <c r="M116" s="185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90"/>
      <c r="B117" s="212"/>
      <c r="C117" s="234"/>
      <c r="D117" s="261"/>
      <c r="E117" s="260"/>
      <c r="F117" s="213"/>
      <c r="G117" s="214"/>
      <c r="H117" s="185"/>
      <c r="I117" s="203"/>
      <c r="J117" s="123"/>
      <c r="K117" s="216"/>
      <c r="L117" s="185"/>
      <c r="M117" s="185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90"/>
      <c r="B118" s="212"/>
      <c r="C118" s="234"/>
      <c r="D118" s="261"/>
      <c r="E118" s="260"/>
      <c r="F118" s="213"/>
      <c r="G118" s="214"/>
      <c r="H118" s="185"/>
      <c r="I118" s="203"/>
      <c r="J118" s="123"/>
      <c r="K118" s="216"/>
      <c r="L118" s="185"/>
      <c r="M118" s="185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90"/>
      <c r="B119" s="212"/>
      <c r="C119" s="234"/>
      <c r="D119" s="261"/>
      <c r="E119" s="260"/>
      <c r="F119" s="213"/>
      <c r="G119" s="214"/>
      <c r="H119" s="185"/>
      <c r="I119" s="203"/>
      <c r="J119" s="123"/>
      <c r="K119" s="216"/>
      <c r="L119" s="185"/>
      <c r="M119" s="185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90"/>
      <c r="B120" s="212"/>
      <c r="C120" s="234"/>
      <c r="D120" s="261"/>
      <c r="E120" s="260"/>
      <c r="F120" s="213"/>
      <c r="G120" s="214"/>
      <c r="H120" s="8"/>
      <c r="I120" s="217"/>
      <c r="J120" s="123"/>
      <c r="K120" s="218"/>
      <c r="L120" s="185"/>
      <c r="M120" s="185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190"/>
      <c r="B121" s="212"/>
      <c r="C121" s="234"/>
      <c r="D121" s="261"/>
      <c r="E121" s="260"/>
      <c r="F121" s="213"/>
      <c r="G121" s="214"/>
      <c r="H121" s="8"/>
      <c r="I121" s="185"/>
      <c r="J121" s="185"/>
      <c r="K121" s="185"/>
      <c r="L121" s="185"/>
      <c r="M121" s="185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190"/>
      <c r="B122" s="222"/>
      <c r="C122" s="237"/>
      <c r="D122" s="262"/>
      <c r="E122" s="263"/>
      <c r="F122" s="223"/>
      <c r="G122" s="224"/>
      <c r="H122" s="8"/>
      <c r="I122" s="185"/>
      <c r="J122" s="185"/>
      <c r="K122" s="185"/>
      <c r="L122" s="185"/>
      <c r="M122" s="185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190"/>
      <c r="B123" s="239"/>
      <c r="C123" s="122"/>
      <c r="D123" s="122"/>
      <c r="E123" s="122"/>
      <c r="F123" s="123"/>
      <c r="G123" s="242">
        <f>SUM(D108:D122,G108:G122)</f>
        <v>1204.1</v>
      </c>
      <c r="H123" s="8"/>
      <c r="I123" s="185"/>
      <c r="J123" s="185"/>
      <c r="K123" s="185"/>
      <c r="L123" s="185"/>
      <c r="M123" s="185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190"/>
      <c r="B124" s="191" t="s">
        <v>95</v>
      </c>
      <c r="C124" s="35"/>
      <c r="D124" s="37"/>
      <c r="E124" s="192">
        <f>'CABEÇALHO'!I7</f>
        <v>2026</v>
      </c>
      <c r="F124" s="35"/>
      <c r="G124" s="3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227"/>
    </row>
    <row r="125" ht="15.75" customHeight="1">
      <c r="A125" s="190"/>
      <c r="B125" s="90">
        <v>46235.0</v>
      </c>
      <c r="C125" s="91" t="s">
        <v>133</v>
      </c>
      <c r="D125" s="267">
        <v>51.27</v>
      </c>
      <c r="E125" s="268">
        <v>46262.0</v>
      </c>
      <c r="F125" s="201" t="s">
        <v>133</v>
      </c>
      <c r="G125" s="202">
        <v>17.0</v>
      </c>
      <c r="H125" s="8"/>
      <c r="I125" s="203"/>
      <c r="J125" s="123"/>
      <c r="K125" s="204"/>
      <c r="L125" s="185"/>
      <c r="M125" s="185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190"/>
      <c r="B126" s="205">
        <v>46238.0</v>
      </c>
      <c r="C126" s="206" t="s">
        <v>100</v>
      </c>
      <c r="D126" s="259">
        <v>25.1</v>
      </c>
      <c r="E126" s="269">
        <v>46262.0</v>
      </c>
      <c r="F126" s="206" t="s">
        <v>100</v>
      </c>
      <c r="G126" s="209">
        <v>21.2</v>
      </c>
      <c r="H126" s="185"/>
      <c r="I126" s="210"/>
      <c r="J126" s="123"/>
      <c r="K126" s="189"/>
      <c r="L126" s="185"/>
      <c r="M126" s="185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190"/>
      <c r="B127" s="205">
        <v>46239.0</v>
      </c>
      <c r="C127" s="206" t="s">
        <v>133</v>
      </c>
      <c r="D127" s="259">
        <v>41.65</v>
      </c>
      <c r="E127" s="269">
        <v>46260.0</v>
      </c>
      <c r="F127" s="208" t="s">
        <v>134</v>
      </c>
      <c r="G127" s="209">
        <v>54.2</v>
      </c>
      <c r="H127" s="185"/>
      <c r="I127" s="180"/>
      <c r="J127" s="123"/>
      <c r="K127" s="189"/>
      <c r="L127" s="185"/>
      <c r="M127" s="185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190"/>
      <c r="B128" s="205">
        <v>46240.0</v>
      </c>
      <c r="C128" s="206" t="s">
        <v>133</v>
      </c>
      <c r="D128" s="259">
        <v>39.29</v>
      </c>
      <c r="E128" s="269">
        <v>46264.0</v>
      </c>
      <c r="F128" s="208" t="s">
        <v>100</v>
      </c>
      <c r="G128" s="209">
        <v>43.05</v>
      </c>
      <c r="H128" s="185"/>
      <c r="I128" s="180"/>
      <c r="J128" s="123"/>
      <c r="K128" s="189"/>
      <c r="L128" s="185"/>
      <c r="M128" s="185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190"/>
      <c r="B129" s="205">
        <v>46238.0</v>
      </c>
      <c r="C129" s="206" t="s">
        <v>100</v>
      </c>
      <c r="D129" s="259">
        <v>25.1</v>
      </c>
      <c r="E129" s="269">
        <v>46236.0</v>
      </c>
      <c r="F129" s="208" t="s">
        <v>135</v>
      </c>
      <c r="G129" s="209">
        <v>40.0</v>
      </c>
      <c r="H129" s="185"/>
      <c r="I129" s="180"/>
      <c r="J129" s="123"/>
      <c r="K129" s="189"/>
      <c r="L129" s="185"/>
      <c r="M129" s="185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190"/>
      <c r="B130" s="205">
        <v>46238.0</v>
      </c>
      <c r="C130" s="206" t="s">
        <v>136</v>
      </c>
      <c r="D130" s="259">
        <v>40.0</v>
      </c>
      <c r="E130" s="269">
        <v>46237.0</v>
      </c>
      <c r="F130" s="208" t="s">
        <v>136</v>
      </c>
      <c r="G130" s="209">
        <v>30.0</v>
      </c>
      <c r="H130" s="185"/>
      <c r="I130" s="215"/>
      <c r="J130" s="123"/>
      <c r="K130" s="211"/>
      <c r="L130" s="185"/>
      <c r="M130" s="185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190"/>
      <c r="B131" s="205">
        <v>46241.0</v>
      </c>
      <c r="C131" s="206" t="s">
        <v>137</v>
      </c>
      <c r="D131" s="259">
        <v>17.0</v>
      </c>
      <c r="E131" s="269">
        <v>46290.0</v>
      </c>
      <c r="F131" s="208" t="s">
        <v>100</v>
      </c>
      <c r="G131" s="209">
        <v>12.25</v>
      </c>
      <c r="H131" s="185"/>
      <c r="I131" s="215"/>
      <c r="J131" s="123"/>
      <c r="K131" s="211"/>
      <c r="L131" s="185"/>
      <c r="M131" s="185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190"/>
      <c r="B132" s="205">
        <v>46242.0</v>
      </c>
      <c r="C132" s="206" t="s">
        <v>138</v>
      </c>
      <c r="D132" s="259">
        <v>23.01</v>
      </c>
      <c r="E132" s="269">
        <v>46251.0</v>
      </c>
      <c r="F132" s="208" t="s">
        <v>139</v>
      </c>
      <c r="G132" s="209">
        <v>23.0</v>
      </c>
      <c r="H132" s="185"/>
      <c r="I132" s="215"/>
      <c r="J132" s="123"/>
      <c r="K132" s="211"/>
      <c r="L132" s="185"/>
      <c r="M132" s="185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190"/>
      <c r="B133" s="205">
        <v>46242.0</v>
      </c>
      <c r="C133" s="206" t="s">
        <v>100</v>
      </c>
      <c r="D133" s="259">
        <v>127.41</v>
      </c>
      <c r="E133" s="269">
        <v>46261.0</v>
      </c>
      <c r="F133" s="208" t="s">
        <v>139</v>
      </c>
      <c r="G133" s="209">
        <v>27.0</v>
      </c>
      <c r="H133" s="185"/>
      <c r="I133" s="203"/>
      <c r="J133" s="123"/>
      <c r="K133" s="216"/>
      <c r="L133" s="185"/>
      <c r="M133" s="185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190"/>
      <c r="B134" s="205">
        <v>46256.0</v>
      </c>
      <c r="C134" s="206" t="s">
        <v>140</v>
      </c>
      <c r="D134" s="259">
        <v>62.0</v>
      </c>
      <c r="E134" s="269">
        <v>46257.0</v>
      </c>
      <c r="F134" s="208" t="s">
        <v>141</v>
      </c>
      <c r="G134" s="209">
        <v>21.0</v>
      </c>
      <c r="H134" s="185"/>
      <c r="I134" s="203"/>
      <c r="J134" s="123"/>
      <c r="K134" s="216"/>
      <c r="L134" s="185"/>
      <c r="M134" s="185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190"/>
      <c r="B135" s="266">
        <v>46254.0</v>
      </c>
      <c r="C135" s="206" t="s">
        <v>100</v>
      </c>
      <c r="D135" s="259">
        <v>21.7</v>
      </c>
      <c r="E135" s="269">
        <v>46259.0</v>
      </c>
      <c r="F135" s="208" t="s">
        <v>100</v>
      </c>
      <c r="G135" s="209">
        <v>20.65</v>
      </c>
      <c r="H135" s="185"/>
      <c r="I135" s="203"/>
      <c r="J135" s="123"/>
      <c r="K135" s="216"/>
      <c r="L135" s="185"/>
      <c r="M135" s="185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190"/>
      <c r="B136" s="266">
        <v>46265.0</v>
      </c>
      <c r="C136" s="206" t="s">
        <v>100</v>
      </c>
      <c r="D136" s="259">
        <v>35.4</v>
      </c>
      <c r="E136" s="269">
        <v>46265.0</v>
      </c>
      <c r="F136" s="208" t="s">
        <v>142</v>
      </c>
      <c r="G136" s="209">
        <v>19.0</v>
      </c>
      <c r="H136" s="185"/>
      <c r="I136" s="203"/>
      <c r="J136" s="123"/>
      <c r="K136" s="216"/>
      <c r="L136" s="185"/>
      <c r="M136" s="185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190"/>
      <c r="B137" s="205">
        <v>46265.0</v>
      </c>
      <c r="C137" s="206" t="s">
        <v>139</v>
      </c>
      <c r="D137" s="259">
        <v>54.73</v>
      </c>
      <c r="E137" s="270">
        <v>46260.0</v>
      </c>
      <c r="F137" s="208" t="s">
        <v>142</v>
      </c>
      <c r="G137" s="209">
        <v>19.0</v>
      </c>
      <c r="H137" s="8"/>
      <c r="I137" s="217"/>
      <c r="J137" s="123"/>
      <c r="K137" s="218"/>
      <c r="L137" s="185"/>
      <c r="M137" s="185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190"/>
      <c r="B138" s="205">
        <v>46243.0</v>
      </c>
      <c r="C138" s="206" t="s">
        <v>143</v>
      </c>
      <c r="D138" s="259">
        <v>65.49</v>
      </c>
      <c r="E138" s="269">
        <v>46261.0</v>
      </c>
      <c r="F138" s="208" t="s">
        <v>100</v>
      </c>
      <c r="G138" s="209">
        <v>39.9</v>
      </c>
      <c r="H138" s="8"/>
      <c r="I138" s="185"/>
      <c r="J138" s="185"/>
      <c r="K138" s="185"/>
      <c r="L138" s="185"/>
      <c r="M138" s="185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190"/>
      <c r="B139" s="219">
        <v>46257.0</v>
      </c>
      <c r="C139" s="220" t="s">
        <v>144</v>
      </c>
      <c r="D139" s="271">
        <v>60.0</v>
      </c>
      <c r="E139" s="263"/>
      <c r="F139" s="223"/>
      <c r="G139" s="224"/>
      <c r="H139" s="8"/>
      <c r="I139" s="185"/>
      <c r="J139" s="185"/>
      <c r="K139" s="185"/>
      <c r="L139" s="185"/>
      <c r="M139" s="185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190"/>
      <c r="B140" s="239"/>
      <c r="C140" s="122"/>
      <c r="D140" s="122"/>
      <c r="E140" s="122"/>
      <c r="F140" s="123"/>
      <c r="G140" s="242">
        <f>SUM(D125:D139,G125:G139)</f>
        <v>1076.4</v>
      </c>
      <c r="H140" s="8"/>
      <c r="I140" s="185"/>
      <c r="J140" s="185"/>
      <c r="K140" s="185"/>
      <c r="L140" s="185"/>
      <c r="M140" s="185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190"/>
      <c r="B141" s="191" t="s">
        <v>104</v>
      </c>
      <c r="C141" s="35"/>
      <c r="D141" s="37"/>
      <c r="E141" s="192">
        <f>'CABEÇALHO'!I7</f>
        <v>2026</v>
      </c>
      <c r="F141" s="35"/>
      <c r="G141" s="3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227"/>
    </row>
    <row r="142" ht="15.75" customHeight="1">
      <c r="A142" s="190"/>
      <c r="B142" s="254">
        <v>46267.0</v>
      </c>
      <c r="C142" s="229" t="s">
        <v>145</v>
      </c>
      <c r="D142" s="255">
        <v>40.46</v>
      </c>
      <c r="E142" s="256"/>
      <c r="F142" s="257"/>
      <c r="G142" s="258"/>
      <c r="H142" s="8"/>
      <c r="I142" s="203"/>
      <c r="J142" s="123"/>
      <c r="K142" s="204"/>
      <c r="L142" s="185"/>
      <c r="M142" s="185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190"/>
      <c r="B143" s="205">
        <v>46267.0</v>
      </c>
      <c r="C143" s="206" t="s">
        <v>100</v>
      </c>
      <c r="D143" s="259">
        <v>32.45</v>
      </c>
      <c r="E143" s="260"/>
      <c r="F143" s="213"/>
      <c r="G143" s="214"/>
      <c r="H143" s="185"/>
      <c r="I143" s="210"/>
      <c r="J143" s="123"/>
      <c r="K143" s="189"/>
      <c r="L143" s="185"/>
      <c r="M143" s="185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190"/>
      <c r="B144" s="205">
        <v>46268.0</v>
      </c>
      <c r="C144" s="206" t="s">
        <v>146</v>
      </c>
      <c r="D144" s="259">
        <v>71.03</v>
      </c>
      <c r="E144" s="260"/>
      <c r="F144" s="213"/>
      <c r="G144" s="214"/>
      <c r="H144" s="185"/>
      <c r="I144" s="180"/>
      <c r="J144" s="123"/>
      <c r="K144" s="189"/>
      <c r="L144" s="185"/>
      <c r="M144" s="185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190"/>
      <c r="B145" s="205">
        <v>46269.0</v>
      </c>
      <c r="C145" s="206" t="s">
        <v>116</v>
      </c>
      <c r="D145" s="259">
        <v>9.0</v>
      </c>
      <c r="E145" s="260"/>
      <c r="F145" s="213"/>
      <c r="G145" s="214"/>
      <c r="H145" s="185"/>
      <c r="I145" s="180"/>
      <c r="J145" s="123"/>
      <c r="K145" s="189"/>
      <c r="L145" s="185"/>
      <c r="M145" s="185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190"/>
      <c r="B146" s="205">
        <v>46269.0</v>
      </c>
      <c r="C146" s="206" t="s">
        <v>147</v>
      </c>
      <c r="D146" s="259">
        <v>14.0</v>
      </c>
      <c r="E146" s="260"/>
      <c r="F146" s="213"/>
      <c r="G146" s="214"/>
      <c r="H146" s="185"/>
      <c r="I146" s="180"/>
      <c r="J146" s="123"/>
      <c r="K146" s="189"/>
      <c r="L146" s="185"/>
      <c r="M146" s="185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190"/>
      <c r="B147" s="205">
        <v>46270.0</v>
      </c>
      <c r="C147" s="206" t="s">
        <v>148</v>
      </c>
      <c r="D147" s="259">
        <v>349.73</v>
      </c>
      <c r="E147" s="260"/>
      <c r="F147" s="213"/>
      <c r="G147" s="214"/>
      <c r="H147" s="185"/>
      <c r="I147" s="215"/>
      <c r="J147" s="123"/>
      <c r="K147" s="211"/>
      <c r="L147" s="185"/>
      <c r="M147" s="185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190"/>
      <c r="B148" s="205">
        <v>46279.0</v>
      </c>
      <c r="C148" s="206" t="s">
        <v>90</v>
      </c>
      <c r="D148" s="259">
        <v>219.92</v>
      </c>
      <c r="E148" s="260"/>
      <c r="F148" s="213"/>
      <c r="G148" s="214"/>
      <c r="H148" s="185"/>
      <c r="I148" s="215"/>
      <c r="J148" s="123"/>
      <c r="K148" s="211"/>
      <c r="L148" s="185"/>
      <c r="M148" s="185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190"/>
      <c r="B149" s="205">
        <v>46280.0</v>
      </c>
      <c r="C149" s="206" t="s">
        <v>125</v>
      </c>
      <c r="D149" s="259">
        <v>95.94</v>
      </c>
      <c r="E149" s="260"/>
      <c r="F149" s="213"/>
      <c r="G149" s="214"/>
      <c r="H149" s="185"/>
      <c r="I149" s="215"/>
      <c r="J149" s="123"/>
      <c r="K149" s="211"/>
      <c r="L149" s="185"/>
      <c r="M149" s="185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190"/>
      <c r="B150" s="205">
        <v>46275.0</v>
      </c>
      <c r="C150" s="206" t="s">
        <v>78</v>
      </c>
      <c r="D150" s="259">
        <v>113.8</v>
      </c>
      <c r="E150" s="260"/>
      <c r="F150" s="213"/>
      <c r="G150" s="214"/>
      <c r="H150" s="185"/>
      <c r="I150" s="203"/>
      <c r="J150" s="123"/>
      <c r="K150" s="216"/>
      <c r="L150" s="185"/>
      <c r="M150" s="185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190"/>
      <c r="B151" s="272">
        <v>46270.0</v>
      </c>
      <c r="C151" s="206" t="s">
        <v>149</v>
      </c>
      <c r="D151" s="259">
        <v>53.64</v>
      </c>
      <c r="E151" s="260"/>
      <c r="F151" s="213"/>
      <c r="G151" s="214"/>
      <c r="H151" s="185"/>
      <c r="I151" s="203"/>
      <c r="J151" s="123"/>
      <c r="K151" s="216"/>
      <c r="L151" s="185"/>
      <c r="M151" s="185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190"/>
      <c r="B152" s="205">
        <v>46275.0</v>
      </c>
      <c r="C152" s="206" t="s">
        <v>90</v>
      </c>
      <c r="D152" s="259">
        <v>13.61</v>
      </c>
      <c r="E152" s="260"/>
      <c r="F152" s="213"/>
      <c r="G152" s="214"/>
      <c r="H152" s="185"/>
      <c r="I152" s="203"/>
      <c r="J152" s="123"/>
      <c r="K152" s="216"/>
      <c r="L152" s="185"/>
      <c r="M152" s="185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190"/>
      <c r="B153" s="205">
        <v>46270.0</v>
      </c>
      <c r="C153" s="206" t="s">
        <v>125</v>
      </c>
      <c r="D153" s="259">
        <v>407.05</v>
      </c>
      <c r="E153" s="260"/>
      <c r="F153" s="213"/>
      <c r="G153" s="214"/>
      <c r="H153" s="185"/>
      <c r="I153" s="203"/>
      <c r="J153" s="123"/>
      <c r="K153" s="216"/>
      <c r="L153" s="185"/>
      <c r="M153" s="185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190"/>
      <c r="B154" s="205">
        <v>46281.0</v>
      </c>
      <c r="C154" s="206" t="s">
        <v>116</v>
      </c>
      <c r="D154" s="259">
        <v>12.0</v>
      </c>
      <c r="E154" s="260"/>
      <c r="F154" s="213"/>
      <c r="G154" s="214"/>
      <c r="H154" s="8"/>
      <c r="I154" s="217"/>
      <c r="J154" s="123"/>
      <c r="K154" s="218"/>
      <c r="L154" s="185"/>
      <c r="M154" s="185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190"/>
      <c r="B155" s="212"/>
      <c r="C155" s="234"/>
      <c r="D155" s="261"/>
      <c r="E155" s="260"/>
      <c r="F155" s="213"/>
      <c r="G155" s="214"/>
      <c r="H155" s="8"/>
      <c r="I155" s="185"/>
      <c r="J155" s="185"/>
      <c r="K155" s="185"/>
      <c r="L155" s="185"/>
      <c r="M155" s="185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190"/>
      <c r="B156" s="222"/>
      <c r="C156" s="237"/>
      <c r="D156" s="262"/>
      <c r="E156" s="263"/>
      <c r="F156" s="223"/>
      <c r="G156" s="224"/>
      <c r="H156" s="8"/>
      <c r="I156" s="185"/>
      <c r="J156" s="185"/>
      <c r="K156" s="185"/>
      <c r="L156" s="185"/>
      <c r="M156" s="185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190"/>
      <c r="B157" s="239"/>
      <c r="C157" s="122"/>
      <c r="D157" s="122"/>
      <c r="E157" s="122"/>
      <c r="F157" s="123"/>
      <c r="G157" s="242">
        <f>SUM(D142:D156,G142:G156)</f>
        <v>1432.63</v>
      </c>
      <c r="H157" s="8"/>
      <c r="I157" s="185"/>
      <c r="J157" s="185"/>
      <c r="K157" s="185"/>
      <c r="L157" s="185"/>
      <c r="M157" s="185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190"/>
      <c r="B158" s="191" t="s">
        <v>111</v>
      </c>
      <c r="C158" s="35"/>
      <c r="D158" s="37"/>
      <c r="E158" s="192">
        <f>'CABEÇALHO'!I7</f>
        <v>2026</v>
      </c>
      <c r="F158" s="35"/>
      <c r="G158" s="3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227"/>
    </row>
    <row r="159" ht="15.75" customHeight="1">
      <c r="A159" s="190"/>
      <c r="B159" s="231"/>
      <c r="C159" s="264"/>
      <c r="D159" s="265"/>
      <c r="E159" s="256"/>
      <c r="F159" s="257"/>
      <c r="G159" s="258"/>
      <c r="H159" s="8"/>
      <c r="I159" s="203"/>
      <c r="J159" s="123"/>
      <c r="K159" s="204"/>
      <c r="L159" s="185"/>
      <c r="M159" s="185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190"/>
      <c r="B160" s="212"/>
      <c r="C160" s="234"/>
      <c r="D160" s="261"/>
      <c r="E160" s="260"/>
      <c r="F160" s="213"/>
      <c r="G160" s="214"/>
      <c r="H160" s="185"/>
      <c r="I160" s="210"/>
      <c r="J160" s="123"/>
      <c r="K160" s="189"/>
      <c r="L160" s="185"/>
      <c r="M160" s="185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190"/>
      <c r="B161" s="212"/>
      <c r="C161" s="234"/>
      <c r="D161" s="261"/>
      <c r="E161" s="260"/>
      <c r="F161" s="213"/>
      <c r="G161" s="214"/>
      <c r="H161" s="185"/>
      <c r="I161" s="180"/>
      <c r="J161" s="123"/>
      <c r="K161" s="189"/>
      <c r="L161" s="185"/>
      <c r="M161" s="185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190"/>
      <c r="B162" s="212"/>
      <c r="C162" s="234"/>
      <c r="D162" s="261"/>
      <c r="E162" s="260"/>
      <c r="F162" s="213"/>
      <c r="G162" s="214"/>
      <c r="H162" s="185"/>
      <c r="I162" s="180"/>
      <c r="J162" s="123"/>
      <c r="K162" s="189"/>
      <c r="L162" s="185"/>
      <c r="M162" s="185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190"/>
      <c r="B163" s="212"/>
      <c r="C163" s="234"/>
      <c r="D163" s="261"/>
      <c r="E163" s="260"/>
      <c r="F163" s="213"/>
      <c r="G163" s="214"/>
      <c r="H163" s="185"/>
      <c r="I163" s="180"/>
      <c r="J163" s="123"/>
      <c r="K163" s="189"/>
      <c r="L163" s="185"/>
      <c r="M163" s="185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190"/>
      <c r="B164" s="212"/>
      <c r="C164" s="234"/>
      <c r="D164" s="261"/>
      <c r="E164" s="260"/>
      <c r="F164" s="213"/>
      <c r="G164" s="214"/>
      <c r="H164" s="185"/>
      <c r="I164" s="215"/>
      <c r="J164" s="123"/>
      <c r="K164" s="211"/>
      <c r="L164" s="185"/>
      <c r="M164" s="185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190"/>
      <c r="B165" s="212"/>
      <c r="C165" s="234"/>
      <c r="D165" s="261"/>
      <c r="E165" s="260"/>
      <c r="F165" s="213"/>
      <c r="G165" s="214"/>
      <c r="H165" s="185"/>
      <c r="I165" s="215"/>
      <c r="J165" s="123"/>
      <c r="K165" s="211"/>
      <c r="L165" s="185"/>
      <c r="M165" s="185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190"/>
      <c r="B166" s="212"/>
      <c r="C166" s="234"/>
      <c r="D166" s="261"/>
      <c r="E166" s="260"/>
      <c r="F166" s="213"/>
      <c r="G166" s="214"/>
      <c r="H166" s="185"/>
      <c r="I166" s="215"/>
      <c r="J166" s="123"/>
      <c r="K166" s="211"/>
      <c r="L166" s="185"/>
      <c r="M166" s="185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190"/>
      <c r="B167" s="212"/>
      <c r="C167" s="234"/>
      <c r="D167" s="261"/>
      <c r="E167" s="260"/>
      <c r="F167" s="213"/>
      <c r="G167" s="214"/>
      <c r="H167" s="185"/>
      <c r="I167" s="203"/>
      <c r="J167" s="123"/>
      <c r="K167" s="216"/>
      <c r="L167" s="185"/>
      <c r="M167" s="185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190"/>
      <c r="B168" s="212"/>
      <c r="C168" s="234"/>
      <c r="D168" s="261"/>
      <c r="E168" s="260"/>
      <c r="F168" s="213"/>
      <c r="G168" s="214"/>
      <c r="H168" s="185"/>
      <c r="I168" s="203"/>
      <c r="J168" s="123"/>
      <c r="K168" s="216"/>
      <c r="L168" s="185"/>
      <c r="M168" s="185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190"/>
      <c r="B169" s="212"/>
      <c r="C169" s="234"/>
      <c r="D169" s="261"/>
      <c r="E169" s="260"/>
      <c r="F169" s="213"/>
      <c r="G169" s="214"/>
      <c r="H169" s="185"/>
      <c r="I169" s="203"/>
      <c r="J169" s="123"/>
      <c r="K169" s="216"/>
      <c r="L169" s="185"/>
      <c r="M169" s="185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190"/>
      <c r="B170" s="212"/>
      <c r="C170" s="234"/>
      <c r="D170" s="261"/>
      <c r="E170" s="260"/>
      <c r="F170" s="213"/>
      <c r="G170" s="214"/>
      <c r="H170" s="185"/>
      <c r="I170" s="203"/>
      <c r="J170" s="123"/>
      <c r="K170" s="216"/>
      <c r="L170" s="185"/>
      <c r="M170" s="185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190"/>
      <c r="B171" s="212"/>
      <c r="C171" s="234"/>
      <c r="D171" s="261"/>
      <c r="E171" s="260"/>
      <c r="F171" s="213"/>
      <c r="G171" s="214"/>
      <c r="H171" s="8"/>
      <c r="I171" s="217"/>
      <c r="J171" s="123"/>
      <c r="K171" s="218"/>
      <c r="L171" s="185"/>
      <c r="M171" s="185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190"/>
      <c r="B172" s="212"/>
      <c r="C172" s="234"/>
      <c r="D172" s="261"/>
      <c r="E172" s="260"/>
      <c r="F172" s="213"/>
      <c r="G172" s="214"/>
      <c r="H172" s="8"/>
      <c r="I172" s="185"/>
      <c r="J172" s="185"/>
      <c r="K172" s="185"/>
      <c r="L172" s="185"/>
      <c r="M172" s="185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190"/>
      <c r="B173" s="222"/>
      <c r="C173" s="237"/>
      <c r="D173" s="262"/>
      <c r="E173" s="263"/>
      <c r="F173" s="223"/>
      <c r="G173" s="224"/>
      <c r="H173" s="8"/>
      <c r="I173" s="185"/>
      <c r="J173" s="185"/>
      <c r="K173" s="185"/>
      <c r="L173" s="185"/>
      <c r="M173" s="185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190"/>
      <c r="B174" s="239"/>
      <c r="C174" s="122"/>
      <c r="D174" s="122"/>
      <c r="E174" s="122"/>
      <c r="F174" s="123"/>
      <c r="G174" s="242">
        <f>SUM(D159:D173,G159:G173)</f>
        <v>0</v>
      </c>
      <c r="H174" s="8"/>
      <c r="I174" s="185"/>
      <c r="J174" s="185"/>
      <c r="K174" s="185"/>
      <c r="L174" s="185"/>
      <c r="M174" s="185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190"/>
      <c r="B175" s="191" t="s">
        <v>112</v>
      </c>
      <c r="C175" s="35"/>
      <c r="D175" s="37"/>
      <c r="E175" s="192">
        <f>'CABEÇALHO'!I7</f>
        <v>2026</v>
      </c>
      <c r="F175" s="35"/>
      <c r="G175" s="3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227"/>
    </row>
    <row r="176" ht="15.75" customHeight="1">
      <c r="A176" s="190"/>
      <c r="B176" s="231"/>
      <c r="C176" s="264"/>
      <c r="D176" s="265"/>
      <c r="E176" s="256"/>
      <c r="F176" s="257"/>
      <c r="G176" s="258"/>
      <c r="H176" s="8"/>
      <c r="I176" s="203"/>
      <c r="J176" s="123"/>
      <c r="K176" s="204"/>
      <c r="L176" s="185"/>
      <c r="M176" s="185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190"/>
      <c r="B177" s="212"/>
      <c r="C177" s="234"/>
      <c r="D177" s="261"/>
      <c r="E177" s="260"/>
      <c r="F177" s="213"/>
      <c r="G177" s="214"/>
      <c r="H177" s="185"/>
      <c r="I177" s="210"/>
      <c r="J177" s="123"/>
      <c r="K177" s="189"/>
      <c r="L177" s="185"/>
      <c r="M177" s="185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190"/>
      <c r="B178" s="212"/>
      <c r="C178" s="234"/>
      <c r="D178" s="261"/>
      <c r="E178" s="260"/>
      <c r="F178" s="213"/>
      <c r="G178" s="214"/>
      <c r="H178" s="185"/>
      <c r="I178" s="180"/>
      <c r="J178" s="123"/>
      <c r="K178" s="189"/>
      <c r="L178" s="185"/>
      <c r="M178" s="185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190"/>
      <c r="B179" s="212"/>
      <c r="C179" s="234"/>
      <c r="D179" s="261"/>
      <c r="E179" s="260"/>
      <c r="F179" s="213"/>
      <c r="G179" s="214"/>
      <c r="H179" s="185"/>
      <c r="I179" s="180"/>
      <c r="J179" s="123"/>
      <c r="K179" s="189"/>
      <c r="L179" s="185"/>
      <c r="M179" s="185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190"/>
      <c r="B180" s="212"/>
      <c r="C180" s="234"/>
      <c r="D180" s="261"/>
      <c r="E180" s="260"/>
      <c r="F180" s="213"/>
      <c r="G180" s="214"/>
      <c r="H180" s="185"/>
      <c r="I180" s="180"/>
      <c r="J180" s="123"/>
      <c r="K180" s="189"/>
      <c r="L180" s="185"/>
      <c r="M180" s="185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190"/>
      <c r="B181" s="212"/>
      <c r="C181" s="234"/>
      <c r="D181" s="261"/>
      <c r="E181" s="260"/>
      <c r="F181" s="213"/>
      <c r="G181" s="214"/>
      <c r="H181" s="185"/>
      <c r="I181" s="215"/>
      <c r="J181" s="123"/>
      <c r="K181" s="211"/>
      <c r="L181" s="185"/>
      <c r="M181" s="185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190"/>
      <c r="B182" s="212"/>
      <c r="C182" s="234"/>
      <c r="D182" s="261"/>
      <c r="E182" s="260"/>
      <c r="F182" s="213"/>
      <c r="G182" s="214"/>
      <c r="H182" s="185"/>
      <c r="I182" s="215"/>
      <c r="J182" s="123"/>
      <c r="K182" s="211"/>
      <c r="L182" s="185"/>
      <c r="M182" s="185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190"/>
      <c r="B183" s="212"/>
      <c r="C183" s="234"/>
      <c r="D183" s="261"/>
      <c r="E183" s="260"/>
      <c r="F183" s="213"/>
      <c r="G183" s="214"/>
      <c r="H183" s="185"/>
      <c r="I183" s="215"/>
      <c r="J183" s="123"/>
      <c r="K183" s="211"/>
      <c r="L183" s="185"/>
      <c r="M183" s="185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190"/>
      <c r="B184" s="212"/>
      <c r="C184" s="234"/>
      <c r="D184" s="261"/>
      <c r="E184" s="260"/>
      <c r="F184" s="213"/>
      <c r="G184" s="214"/>
      <c r="H184" s="185"/>
      <c r="I184" s="203"/>
      <c r="J184" s="123"/>
      <c r="K184" s="216"/>
      <c r="L184" s="185"/>
      <c r="M184" s="185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190"/>
      <c r="B185" s="212"/>
      <c r="C185" s="234"/>
      <c r="D185" s="261"/>
      <c r="E185" s="260"/>
      <c r="F185" s="213"/>
      <c r="G185" s="214"/>
      <c r="H185" s="185"/>
      <c r="I185" s="203"/>
      <c r="J185" s="123"/>
      <c r="K185" s="216"/>
      <c r="L185" s="185"/>
      <c r="M185" s="185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190"/>
      <c r="B186" s="212"/>
      <c r="C186" s="234"/>
      <c r="D186" s="261"/>
      <c r="E186" s="260"/>
      <c r="F186" s="213"/>
      <c r="G186" s="214"/>
      <c r="H186" s="185"/>
      <c r="I186" s="203"/>
      <c r="J186" s="123"/>
      <c r="K186" s="216"/>
      <c r="L186" s="185"/>
      <c r="M186" s="185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190"/>
      <c r="B187" s="212"/>
      <c r="C187" s="234"/>
      <c r="D187" s="261"/>
      <c r="E187" s="260"/>
      <c r="F187" s="213"/>
      <c r="G187" s="214"/>
      <c r="H187" s="185"/>
      <c r="I187" s="203"/>
      <c r="J187" s="123"/>
      <c r="K187" s="216"/>
      <c r="L187" s="185"/>
      <c r="M187" s="185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190"/>
      <c r="B188" s="212"/>
      <c r="C188" s="234"/>
      <c r="D188" s="261"/>
      <c r="E188" s="260"/>
      <c r="F188" s="213"/>
      <c r="G188" s="214"/>
      <c r="H188" s="8"/>
      <c r="I188" s="217"/>
      <c r="J188" s="123"/>
      <c r="K188" s="218"/>
      <c r="L188" s="185"/>
      <c r="M188" s="185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190"/>
      <c r="B189" s="212"/>
      <c r="C189" s="234"/>
      <c r="D189" s="261"/>
      <c r="E189" s="260"/>
      <c r="F189" s="213"/>
      <c r="G189" s="214"/>
      <c r="H189" s="8"/>
      <c r="I189" s="185"/>
      <c r="J189" s="185"/>
      <c r="K189" s="185"/>
      <c r="L189" s="185"/>
      <c r="M189" s="185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190"/>
      <c r="B190" s="222"/>
      <c r="C190" s="237"/>
      <c r="D190" s="262"/>
      <c r="E190" s="263"/>
      <c r="F190" s="223"/>
      <c r="G190" s="224"/>
      <c r="H190" s="8"/>
      <c r="I190" s="185"/>
      <c r="J190" s="185"/>
      <c r="K190" s="185"/>
      <c r="L190" s="185"/>
      <c r="M190" s="185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190"/>
      <c r="B191" s="239"/>
      <c r="C191" s="122"/>
      <c r="D191" s="122"/>
      <c r="E191" s="122"/>
      <c r="F191" s="123"/>
      <c r="G191" s="242">
        <f>SUM(D176:D190,G176:G190)</f>
        <v>0</v>
      </c>
      <c r="H191" s="8"/>
      <c r="I191" s="185"/>
      <c r="J191" s="185"/>
      <c r="K191" s="185"/>
      <c r="L191" s="185"/>
      <c r="M191" s="185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190"/>
      <c r="B192" s="191" t="s">
        <v>115</v>
      </c>
      <c r="C192" s="35"/>
      <c r="D192" s="37"/>
      <c r="E192" s="192">
        <f>'CABEÇALHO'!I7</f>
        <v>2026</v>
      </c>
      <c r="F192" s="35"/>
      <c r="G192" s="3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227"/>
    </row>
    <row r="193" ht="15.75" customHeight="1">
      <c r="A193" s="190"/>
      <c r="B193" s="231"/>
      <c r="C193" s="264"/>
      <c r="D193" s="265"/>
      <c r="E193" s="256"/>
      <c r="F193" s="257"/>
      <c r="G193" s="258"/>
      <c r="H193" s="8"/>
      <c r="I193" s="203"/>
      <c r="J193" s="123"/>
      <c r="K193" s="204"/>
      <c r="L193" s="185"/>
      <c r="M193" s="185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190"/>
      <c r="B194" s="212"/>
      <c r="C194" s="234"/>
      <c r="D194" s="261"/>
      <c r="E194" s="260"/>
      <c r="F194" s="213"/>
      <c r="G194" s="214"/>
      <c r="H194" s="185"/>
      <c r="I194" s="210"/>
      <c r="J194" s="123"/>
      <c r="K194" s="189"/>
      <c r="L194" s="185"/>
      <c r="M194" s="185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190"/>
      <c r="B195" s="212"/>
      <c r="C195" s="234"/>
      <c r="D195" s="261"/>
      <c r="E195" s="260"/>
      <c r="F195" s="213"/>
      <c r="G195" s="214"/>
      <c r="H195" s="185"/>
      <c r="I195" s="180"/>
      <c r="J195" s="123"/>
      <c r="K195" s="189"/>
      <c r="L195" s="185"/>
      <c r="M195" s="185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190"/>
      <c r="B196" s="212"/>
      <c r="C196" s="234"/>
      <c r="D196" s="261"/>
      <c r="E196" s="260"/>
      <c r="F196" s="213"/>
      <c r="G196" s="214"/>
      <c r="H196" s="185"/>
      <c r="I196" s="180"/>
      <c r="J196" s="123"/>
      <c r="K196" s="189"/>
      <c r="L196" s="185"/>
      <c r="M196" s="185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190"/>
      <c r="B197" s="212"/>
      <c r="C197" s="234"/>
      <c r="D197" s="261"/>
      <c r="E197" s="260"/>
      <c r="F197" s="213"/>
      <c r="G197" s="214"/>
      <c r="H197" s="185"/>
      <c r="I197" s="180"/>
      <c r="J197" s="123"/>
      <c r="K197" s="189"/>
      <c r="L197" s="185"/>
      <c r="M197" s="185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190"/>
      <c r="B198" s="212"/>
      <c r="C198" s="234"/>
      <c r="D198" s="261"/>
      <c r="E198" s="260"/>
      <c r="F198" s="213"/>
      <c r="G198" s="214"/>
      <c r="H198" s="185"/>
      <c r="I198" s="215"/>
      <c r="J198" s="123"/>
      <c r="K198" s="211"/>
      <c r="L198" s="185"/>
      <c r="M198" s="185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190"/>
      <c r="B199" s="212"/>
      <c r="C199" s="234"/>
      <c r="D199" s="261"/>
      <c r="E199" s="260"/>
      <c r="F199" s="213"/>
      <c r="G199" s="214"/>
      <c r="H199" s="185"/>
      <c r="I199" s="215"/>
      <c r="J199" s="123"/>
      <c r="K199" s="211"/>
      <c r="L199" s="185"/>
      <c r="M199" s="185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190"/>
      <c r="B200" s="212"/>
      <c r="C200" s="234"/>
      <c r="D200" s="261"/>
      <c r="E200" s="260"/>
      <c r="F200" s="213"/>
      <c r="G200" s="214"/>
      <c r="H200" s="185"/>
      <c r="I200" s="215"/>
      <c r="J200" s="123"/>
      <c r="K200" s="211"/>
      <c r="L200" s="185"/>
      <c r="M200" s="185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190"/>
      <c r="B201" s="212"/>
      <c r="C201" s="234"/>
      <c r="D201" s="261"/>
      <c r="E201" s="260"/>
      <c r="F201" s="213"/>
      <c r="G201" s="214"/>
      <c r="H201" s="185"/>
      <c r="I201" s="203"/>
      <c r="J201" s="123"/>
      <c r="K201" s="216"/>
      <c r="L201" s="185"/>
      <c r="M201" s="185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190"/>
      <c r="B202" s="212"/>
      <c r="C202" s="234"/>
      <c r="D202" s="261"/>
      <c r="E202" s="260"/>
      <c r="F202" s="213"/>
      <c r="G202" s="214"/>
      <c r="H202" s="185"/>
      <c r="I202" s="203"/>
      <c r="J202" s="123"/>
      <c r="K202" s="216"/>
      <c r="L202" s="185"/>
      <c r="M202" s="185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190"/>
      <c r="B203" s="212"/>
      <c r="C203" s="234"/>
      <c r="D203" s="261"/>
      <c r="E203" s="260"/>
      <c r="F203" s="213"/>
      <c r="G203" s="214"/>
      <c r="H203" s="185"/>
      <c r="I203" s="203"/>
      <c r="J203" s="123"/>
      <c r="K203" s="216"/>
      <c r="L203" s="185"/>
      <c r="M203" s="185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190"/>
      <c r="B204" s="212"/>
      <c r="C204" s="234"/>
      <c r="D204" s="261"/>
      <c r="E204" s="260"/>
      <c r="F204" s="213"/>
      <c r="G204" s="214"/>
      <c r="H204" s="185"/>
      <c r="I204" s="203"/>
      <c r="J204" s="123"/>
      <c r="K204" s="216"/>
      <c r="L204" s="185"/>
      <c r="M204" s="185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190"/>
      <c r="B205" s="212"/>
      <c r="C205" s="234"/>
      <c r="D205" s="261"/>
      <c r="E205" s="260"/>
      <c r="F205" s="213"/>
      <c r="G205" s="214"/>
      <c r="H205" s="8"/>
      <c r="I205" s="217"/>
      <c r="J205" s="123"/>
      <c r="K205" s="218"/>
      <c r="L205" s="185"/>
      <c r="M205" s="185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190"/>
      <c r="B206" s="212"/>
      <c r="C206" s="234"/>
      <c r="D206" s="261"/>
      <c r="E206" s="260"/>
      <c r="F206" s="213"/>
      <c r="G206" s="214"/>
      <c r="H206" s="8"/>
      <c r="I206" s="185"/>
      <c r="J206" s="185"/>
      <c r="K206" s="185"/>
      <c r="L206" s="185"/>
      <c r="M206" s="185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190"/>
      <c r="B207" s="222"/>
      <c r="C207" s="237"/>
      <c r="D207" s="262"/>
      <c r="E207" s="263"/>
      <c r="F207" s="223"/>
      <c r="G207" s="224"/>
      <c r="H207" s="8"/>
      <c r="I207" s="185"/>
      <c r="J207" s="185"/>
      <c r="K207" s="185"/>
      <c r="L207" s="185"/>
      <c r="M207" s="185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273"/>
      <c r="B208" s="239"/>
      <c r="C208" s="122"/>
      <c r="D208" s="122"/>
      <c r="E208" s="122"/>
      <c r="F208" s="123"/>
      <c r="G208" s="274">
        <f>SUM(D193:D207,G193:G207)</f>
        <v>0</v>
      </c>
      <c r="H208" s="8"/>
      <c r="I208" s="185"/>
      <c r="J208" s="185"/>
      <c r="K208" s="185"/>
      <c r="L208" s="185"/>
      <c r="M208" s="185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275"/>
      <c r="B209" s="276"/>
      <c r="C209" s="277"/>
      <c r="D209" s="8"/>
      <c r="E209" s="276"/>
      <c r="F209" s="277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275"/>
      <c r="B210" s="276"/>
      <c r="C210" s="277"/>
      <c r="D210" s="8"/>
      <c r="E210" s="276"/>
      <c r="F210" s="277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275"/>
      <c r="B211" s="276"/>
      <c r="C211" s="277"/>
      <c r="D211" s="8"/>
      <c r="E211" s="276"/>
      <c r="F211" s="277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275"/>
      <c r="B212" s="276"/>
      <c r="C212" s="277"/>
      <c r="D212" s="8"/>
      <c r="E212" s="276"/>
      <c r="F212" s="277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275"/>
      <c r="B213" s="276"/>
      <c r="C213" s="277"/>
      <c r="D213" s="8"/>
      <c r="E213" s="276"/>
      <c r="F213" s="277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275"/>
      <c r="B214" s="276"/>
      <c r="C214" s="277"/>
      <c r="D214" s="8"/>
      <c r="E214" s="276"/>
      <c r="F214" s="277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275"/>
      <c r="B215" s="276"/>
      <c r="C215" s="277"/>
      <c r="D215" s="8"/>
      <c r="E215" s="276"/>
      <c r="F215" s="277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275"/>
      <c r="B216" s="276"/>
      <c r="C216" s="277"/>
      <c r="D216" s="8"/>
      <c r="E216" s="276"/>
      <c r="F216" s="277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275"/>
      <c r="B217" s="276"/>
      <c r="C217" s="277"/>
      <c r="D217" s="8"/>
      <c r="E217" s="276"/>
      <c r="F217" s="277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275"/>
      <c r="B218" s="276"/>
      <c r="C218" s="277"/>
      <c r="D218" s="8"/>
      <c r="E218" s="276"/>
      <c r="F218" s="277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275"/>
      <c r="B219" s="276"/>
      <c r="C219" s="277"/>
      <c r="D219" s="8"/>
      <c r="E219" s="276"/>
      <c r="F219" s="277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275"/>
      <c r="B220" s="276"/>
      <c r="C220" s="277"/>
      <c r="D220" s="8"/>
      <c r="E220" s="276"/>
      <c r="F220" s="277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275"/>
      <c r="B221" s="276"/>
      <c r="C221" s="277"/>
      <c r="D221" s="8"/>
      <c r="E221" s="276"/>
      <c r="F221" s="277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275"/>
      <c r="B222" s="276"/>
      <c r="C222" s="277"/>
      <c r="D222" s="8"/>
      <c r="E222" s="276"/>
      <c r="F222" s="277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275"/>
      <c r="B223" s="276"/>
      <c r="C223" s="277"/>
      <c r="D223" s="8"/>
      <c r="E223" s="276"/>
      <c r="F223" s="277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278"/>
      <c r="B224" s="276"/>
      <c r="C224" s="277"/>
      <c r="D224" s="8"/>
      <c r="E224" s="276"/>
      <c r="F224" s="277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279"/>
      <c r="B225" s="276"/>
      <c r="C225" s="277"/>
      <c r="D225" s="8"/>
      <c r="E225" s="276"/>
      <c r="F225" s="277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279"/>
      <c r="B226" s="276"/>
      <c r="C226" s="277"/>
      <c r="D226" s="8"/>
      <c r="E226" s="276"/>
      <c r="F226" s="277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279"/>
      <c r="B227" s="276"/>
      <c r="C227" s="277"/>
      <c r="D227" s="8"/>
      <c r="E227" s="276"/>
      <c r="F227" s="277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279"/>
      <c r="B228" s="276"/>
      <c r="C228" s="277"/>
      <c r="D228" s="8"/>
      <c r="E228" s="276"/>
      <c r="F228" s="277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279"/>
      <c r="B229" s="276"/>
      <c r="C229" s="277"/>
      <c r="D229" s="8"/>
      <c r="E229" s="276"/>
      <c r="F229" s="277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279"/>
      <c r="B230" s="276"/>
      <c r="C230" s="277"/>
      <c r="D230" s="8"/>
      <c r="E230" s="276"/>
      <c r="F230" s="277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279"/>
      <c r="B231" s="276"/>
      <c r="C231" s="277"/>
      <c r="D231" s="8"/>
      <c r="E231" s="276"/>
      <c r="F231" s="277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279"/>
      <c r="B232" s="276"/>
      <c r="C232" s="277"/>
      <c r="D232" s="8"/>
      <c r="E232" s="276"/>
      <c r="F232" s="277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279"/>
      <c r="B233" s="276"/>
      <c r="C233" s="277"/>
      <c r="D233" s="8"/>
      <c r="E233" s="276"/>
      <c r="F233" s="277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279"/>
      <c r="B234" s="276"/>
      <c r="C234" s="277"/>
      <c r="D234" s="8"/>
      <c r="E234" s="276"/>
      <c r="F234" s="277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279"/>
      <c r="B235" s="276"/>
      <c r="C235" s="277"/>
      <c r="D235" s="8"/>
      <c r="E235" s="276"/>
      <c r="F235" s="277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279"/>
      <c r="B236" s="276"/>
      <c r="C236" s="277"/>
      <c r="D236" s="8"/>
      <c r="E236" s="276"/>
      <c r="F236" s="277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279"/>
      <c r="B237" s="276"/>
      <c r="C237" s="277"/>
      <c r="D237" s="8"/>
      <c r="E237" s="276"/>
      <c r="F237" s="277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279"/>
      <c r="B238" s="276"/>
      <c r="C238" s="277"/>
      <c r="D238" s="8"/>
      <c r="E238" s="276"/>
      <c r="F238" s="277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279"/>
      <c r="B239" s="276"/>
      <c r="C239" s="277"/>
      <c r="D239" s="8"/>
      <c r="E239" s="276"/>
      <c r="F239" s="277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279"/>
      <c r="B240" s="276"/>
      <c r="C240" s="277"/>
      <c r="D240" s="8"/>
      <c r="E240" s="276"/>
      <c r="F240" s="277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279"/>
      <c r="B241" s="276"/>
      <c r="C241" s="277"/>
      <c r="D241" s="8"/>
      <c r="E241" s="276"/>
      <c r="F241" s="277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279"/>
      <c r="B242" s="276"/>
      <c r="C242" s="277"/>
      <c r="D242" s="8"/>
      <c r="E242" s="276"/>
      <c r="F242" s="277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279"/>
      <c r="B243" s="276"/>
      <c r="C243" s="277"/>
      <c r="D243" s="8"/>
      <c r="E243" s="276"/>
      <c r="F243" s="277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279"/>
      <c r="B244" s="276"/>
      <c r="C244" s="277"/>
      <c r="D244" s="8"/>
      <c r="E244" s="276"/>
      <c r="F244" s="277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279"/>
      <c r="B245" s="276"/>
      <c r="C245" s="277"/>
      <c r="D245" s="8"/>
      <c r="E245" s="276"/>
      <c r="F245" s="277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279"/>
      <c r="B246" s="276"/>
      <c r="C246" s="277"/>
      <c r="D246" s="8"/>
      <c r="E246" s="276"/>
      <c r="F246" s="277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279"/>
      <c r="B247" s="276"/>
      <c r="C247" s="277"/>
      <c r="D247" s="8"/>
      <c r="E247" s="276"/>
      <c r="F247" s="277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279"/>
      <c r="B248" s="276"/>
      <c r="C248" s="277"/>
      <c r="D248" s="8"/>
      <c r="E248" s="276"/>
      <c r="F248" s="277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279"/>
      <c r="B249" s="276"/>
      <c r="C249" s="277"/>
      <c r="D249" s="8"/>
      <c r="E249" s="276"/>
      <c r="F249" s="277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279"/>
      <c r="B250" s="276"/>
      <c r="C250" s="277"/>
      <c r="D250" s="8"/>
      <c r="E250" s="276"/>
      <c r="F250" s="277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280"/>
      <c r="B251" s="281"/>
      <c r="C251" s="282"/>
      <c r="E251" s="281"/>
      <c r="F251" s="28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280"/>
      <c r="B252" s="281"/>
      <c r="C252" s="282"/>
      <c r="E252" s="281"/>
      <c r="F252" s="28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280"/>
      <c r="B253" s="281"/>
      <c r="C253" s="282"/>
      <c r="E253" s="281"/>
      <c r="F253" s="28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280"/>
      <c r="B254" s="281"/>
      <c r="C254" s="282"/>
      <c r="E254" s="281"/>
      <c r="F254" s="28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280"/>
      <c r="B255" s="281"/>
      <c r="C255" s="282"/>
      <c r="E255" s="281"/>
      <c r="F255" s="28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280"/>
      <c r="B256" s="281"/>
      <c r="C256" s="282"/>
      <c r="E256" s="281"/>
      <c r="F256" s="28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280"/>
      <c r="B257" s="281"/>
      <c r="C257" s="282"/>
      <c r="E257" s="281"/>
      <c r="F257" s="28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280"/>
      <c r="B258" s="281"/>
      <c r="C258" s="282"/>
      <c r="E258" s="281"/>
      <c r="F258" s="28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280"/>
      <c r="B259" s="281"/>
      <c r="C259" s="282"/>
      <c r="E259" s="281"/>
      <c r="F259" s="28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280"/>
      <c r="B260" s="281"/>
      <c r="C260" s="282"/>
      <c r="E260" s="281"/>
      <c r="F260" s="28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280"/>
      <c r="B261" s="281"/>
      <c r="C261" s="282"/>
      <c r="E261" s="281"/>
      <c r="F261" s="28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280"/>
      <c r="B262" s="281"/>
      <c r="C262" s="282"/>
      <c r="E262" s="281"/>
      <c r="F262" s="28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280"/>
      <c r="B263" s="281"/>
      <c r="C263" s="282"/>
      <c r="E263" s="281"/>
      <c r="F263" s="28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280"/>
      <c r="B264" s="281"/>
      <c r="C264" s="282"/>
      <c r="E264" s="281"/>
      <c r="F264" s="28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280"/>
      <c r="B265" s="281"/>
      <c r="C265" s="282"/>
      <c r="E265" s="281"/>
      <c r="F265" s="28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280"/>
      <c r="B266" s="281"/>
      <c r="C266" s="282"/>
      <c r="E266" s="281"/>
      <c r="F266" s="28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280"/>
      <c r="B267" s="281"/>
      <c r="C267" s="282"/>
      <c r="E267" s="281"/>
      <c r="F267" s="28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280"/>
      <c r="B268" s="281"/>
      <c r="C268" s="282"/>
      <c r="E268" s="281"/>
      <c r="F268" s="28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280"/>
      <c r="B269" s="281"/>
      <c r="C269" s="282"/>
      <c r="E269" s="281"/>
      <c r="F269" s="28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280"/>
      <c r="B270" s="281"/>
      <c r="C270" s="282"/>
      <c r="E270" s="281"/>
      <c r="F270" s="28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280"/>
      <c r="B271" s="281"/>
      <c r="C271" s="282"/>
      <c r="E271" s="281"/>
      <c r="F271" s="28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280"/>
      <c r="B272" s="281"/>
      <c r="C272" s="282"/>
      <c r="E272" s="281"/>
      <c r="F272" s="28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280"/>
      <c r="B273" s="281"/>
      <c r="C273" s="282"/>
      <c r="E273" s="281"/>
      <c r="F273" s="28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280"/>
      <c r="B274" s="281"/>
      <c r="C274" s="282"/>
      <c r="E274" s="281"/>
      <c r="F274" s="28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280"/>
      <c r="B275" s="281"/>
      <c r="C275" s="282"/>
      <c r="E275" s="281"/>
      <c r="F275" s="28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280"/>
      <c r="B276" s="281"/>
      <c r="C276" s="282"/>
      <c r="E276" s="281"/>
      <c r="F276" s="28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280"/>
      <c r="B277" s="281"/>
      <c r="C277" s="282"/>
      <c r="E277" s="281"/>
      <c r="F277" s="28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280"/>
      <c r="B278" s="281"/>
      <c r="C278" s="282"/>
      <c r="E278" s="281"/>
      <c r="F278" s="28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280"/>
      <c r="B279" s="281"/>
      <c r="C279" s="282"/>
      <c r="E279" s="281"/>
      <c r="F279" s="28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280"/>
      <c r="B280" s="281"/>
      <c r="C280" s="282"/>
      <c r="E280" s="281"/>
      <c r="F280" s="28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280"/>
      <c r="B281" s="281"/>
      <c r="C281" s="282"/>
      <c r="E281" s="281"/>
      <c r="F281" s="28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280"/>
      <c r="B282" s="281"/>
      <c r="C282" s="282"/>
      <c r="E282" s="281"/>
      <c r="F282" s="28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280"/>
      <c r="B283" s="281"/>
      <c r="C283" s="282"/>
      <c r="E283" s="281"/>
      <c r="F283" s="28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280"/>
      <c r="B284" s="281"/>
      <c r="C284" s="282"/>
      <c r="E284" s="281"/>
      <c r="F284" s="28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280"/>
      <c r="B285" s="281"/>
      <c r="C285" s="282"/>
      <c r="E285" s="281"/>
      <c r="F285" s="28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280"/>
      <c r="B286" s="281"/>
      <c r="C286" s="282"/>
      <c r="E286" s="281"/>
      <c r="F286" s="28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280"/>
      <c r="B287" s="281"/>
      <c r="C287" s="282"/>
      <c r="E287" s="281"/>
      <c r="F287" s="28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280"/>
      <c r="B288" s="281"/>
      <c r="C288" s="282"/>
      <c r="E288" s="281"/>
      <c r="F288" s="28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280"/>
      <c r="B289" s="281"/>
      <c r="C289" s="282"/>
      <c r="E289" s="281"/>
      <c r="F289" s="28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280"/>
      <c r="B290" s="281"/>
      <c r="C290" s="282"/>
      <c r="E290" s="281"/>
      <c r="F290" s="28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280"/>
      <c r="B291" s="281"/>
      <c r="C291" s="282"/>
      <c r="E291" s="281"/>
      <c r="F291" s="28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280"/>
      <c r="B292" s="281"/>
      <c r="C292" s="282"/>
      <c r="E292" s="281"/>
      <c r="F292" s="28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280"/>
      <c r="B293" s="281"/>
      <c r="C293" s="282"/>
      <c r="E293" s="281"/>
      <c r="F293" s="28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280"/>
      <c r="B294" s="281"/>
      <c r="C294" s="282"/>
      <c r="E294" s="281"/>
      <c r="F294" s="28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280"/>
      <c r="B295" s="281"/>
      <c r="C295" s="282"/>
      <c r="E295" s="281"/>
      <c r="F295" s="28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280"/>
      <c r="B296" s="281"/>
      <c r="C296" s="282"/>
      <c r="E296" s="281"/>
      <c r="F296" s="28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280"/>
      <c r="B297" s="281"/>
      <c r="C297" s="282"/>
      <c r="E297" s="281"/>
      <c r="F297" s="28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280"/>
      <c r="B298" s="281"/>
      <c r="C298" s="282"/>
      <c r="E298" s="281"/>
      <c r="F298" s="28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280"/>
      <c r="B299" s="281"/>
      <c r="C299" s="282"/>
      <c r="E299" s="281"/>
      <c r="F299" s="28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280"/>
      <c r="B300" s="281"/>
      <c r="C300" s="282"/>
      <c r="E300" s="281"/>
      <c r="F300" s="28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280"/>
      <c r="B301" s="281"/>
      <c r="C301" s="282"/>
      <c r="E301" s="281"/>
      <c r="F301" s="28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280"/>
      <c r="B302" s="281"/>
      <c r="C302" s="282"/>
      <c r="E302" s="281"/>
      <c r="F302" s="28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280"/>
      <c r="B303" s="281"/>
      <c r="C303" s="282"/>
      <c r="E303" s="281"/>
      <c r="F303" s="28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280"/>
      <c r="B304" s="281"/>
      <c r="C304" s="282"/>
      <c r="E304" s="281"/>
      <c r="F304" s="28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280"/>
      <c r="B305" s="281"/>
      <c r="C305" s="282"/>
      <c r="E305" s="281"/>
      <c r="F305" s="28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280"/>
      <c r="B306" s="281"/>
      <c r="C306" s="282"/>
      <c r="E306" s="281"/>
      <c r="F306" s="28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280"/>
      <c r="B307" s="281"/>
      <c r="C307" s="282"/>
      <c r="E307" s="281"/>
      <c r="F307" s="28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280"/>
      <c r="B308" s="281"/>
      <c r="C308" s="282"/>
      <c r="E308" s="281"/>
      <c r="F308" s="28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280"/>
      <c r="B309" s="281"/>
      <c r="C309" s="282"/>
      <c r="E309" s="281"/>
      <c r="F309" s="28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280"/>
      <c r="B310" s="281"/>
      <c r="C310" s="282"/>
      <c r="E310" s="281"/>
      <c r="F310" s="28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280"/>
      <c r="B311" s="281"/>
      <c r="C311" s="282"/>
      <c r="E311" s="281"/>
      <c r="F311" s="28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280"/>
      <c r="B312" s="281"/>
      <c r="C312" s="282"/>
      <c r="E312" s="281"/>
      <c r="F312" s="28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280"/>
      <c r="B313" s="281"/>
      <c r="C313" s="282"/>
      <c r="E313" s="281"/>
      <c r="F313" s="28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280"/>
      <c r="B314" s="281"/>
      <c r="C314" s="282"/>
      <c r="E314" s="281"/>
      <c r="F314" s="28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280"/>
      <c r="B315" s="281"/>
      <c r="C315" s="282"/>
      <c r="E315" s="281"/>
      <c r="F315" s="28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280"/>
      <c r="B316" s="281"/>
      <c r="C316" s="282"/>
      <c r="E316" s="281"/>
      <c r="F316" s="28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280"/>
      <c r="B317" s="281"/>
      <c r="C317" s="282"/>
      <c r="E317" s="281"/>
      <c r="F317" s="28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280"/>
      <c r="B318" s="281"/>
      <c r="C318" s="282"/>
      <c r="E318" s="281"/>
      <c r="F318" s="28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280"/>
      <c r="B319" s="281"/>
      <c r="C319" s="282"/>
      <c r="E319" s="281"/>
      <c r="F319" s="28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280"/>
      <c r="B320" s="281"/>
      <c r="C320" s="282"/>
      <c r="E320" s="281"/>
      <c r="F320" s="28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280"/>
      <c r="B321" s="281"/>
      <c r="C321" s="282"/>
      <c r="E321" s="281"/>
      <c r="F321" s="28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280"/>
      <c r="B322" s="281"/>
      <c r="C322" s="282"/>
      <c r="E322" s="281"/>
      <c r="F322" s="28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280"/>
      <c r="B323" s="281"/>
      <c r="C323" s="282"/>
      <c r="E323" s="281"/>
      <c r="F323" s="28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280"/>
      <c r="B324" s="281"/>
      <c r="C324" s="282"/>
      <c r="E324" s="281"/>
      <c r="F324" s="28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280"/>
      <c r="B325" s="281"/>
      <c r="C325" s="282"/>
      <c r="E325" s="281"/>
      <c r="F325" s="28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280"/>
      <c r="B326" s="281"/>
      <c r="C326" s="282"/>
      <c r="E326" s="281"/>
      <c r="F326" s="28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280"/>
      <c r="B327" s="281"/>
      <c r="C327" s="282"/>
      <c r="E327" s="281"/>
      <c r="F327" s="28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280"/>
      <c r="B328" s="281"/>
      <c r="C328" s="282"/>
      <c r="E328" s="281"/>
      <c r="F328" s="28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280"/>
      <c r="B329" s="281"/>
      <c r="C329" s="282"/>
      <c r="E329" s="281"/>
      <c r="F329" s="28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280"/>
      <c r="B330" s="281"/>
      <c r="C330" s="282"/>
      <c r="E330" s="281"/>
      <c r="F330" s="28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280"/>
      <c r="B331" s="281"/>
      <c r="C331" s="282"/>
      <c r="E331" s="281"/>
      <c r="F331" s="28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280"/>
      <c r="B332" s="281"/>
      <c r="C332" s="282"/>
      <c r="E332" s="281"/>
      <c r="F332" s="28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280"/>
      <c r="B333" s="281"/>
      <c r="C333" s="282"/>
      <c r="E333" s="281"/>
      <c r="F333" s="28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280"/>
      <c r="B334" s="281"/>
      <c r="C334" s="282"/>
      <c r="E334" s="281"/>
      <c r="F334" s="28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280"/>
      <c r="B335" s="281"/>
      <c r="C335" s="282"/>
      <c r="E335" s="281"/>
      <c r="F335" s="28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280"/>
      <c r="B336" s="281"/>
      <c r="C336" s="282"/>
      <c r="E336" s="281"/>
      <c r="F336" s="28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280"/>
      <c r="B337" s="281"/>
      <c r="C337" s="282"/>
      <c r="E337" s="281"/>
      <c r="F337" s="28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280"/>
      <c r="B338" s="281"/>
      <c r="C338" s="282"/>
      <c r="E338" s="281"/>
      <c r="F338" s="28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280"/>
      <c r="B339" s="281"/>
      <c r="C339" s="282"/>
      <c r="E339" s="281"/>
      <c r="F339" s="28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280"/>
      <c r="B340" s="281"/>
      <c r="C340" s="282"/>
      <c r="E340" s="281"/>
      <c r="F340" s="28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280"/>
      <c r="B341" s="281"/>
      <c r="C341" s="282"/>
      <c r="E341" s="281"/>
      <c r="F341" s="28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280"/>
      <c r="B342" s="281"/>
      <c r="C342" s="282"/>
      <c r="E342" s="281"/>
      <c r="F342" s="28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280"/>
      <c r="B343" s="281"/>
      <c r="C343" s="282"/>
      <c r="E343" s="281"/>
      <c r="F343" s="28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280"/>
      <c r="B344" s="281"/>
      <c r="C344" s="282"/>
      <c r="E344" s="281"/>
      <c r="F344" s="28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280"/>
      <c r="B345" s="281"/>
      <c r="C345" s="282"/>
      <c r="E345" s="281"/>
      <c r="F345" s="28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280"/>
      <c r="B346" s="281"/>
      <c r="C346" s="282"/>
      <c r="E346" s="281"/>
      <c r="F346" s="28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280"/>
      <c r="B347" s="281"/>
      <c r="C347" s="282"/>
      <c r="E347" s="281"/>
      <c r="F347" s="28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280"/>
      <c r="B348" s="281"/>
      <c r="C348" s="282"/>
      <c r="E348" s="281"/>
      <c r="F348" s="28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280"/>
      <c r="B349" s="281"/>
      <c r="C349" s="282"/>
      <c r="E349" s="281"/>
      <c r="F349" s="28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280"/>
      <c r="B350" s="281"/>
      <c r="C350" s="282"/>
      <c r="E350" s="281"/>
      <c r="F350" s="28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280"/>
      <c r="B351" s="281"/>
      <c r="C351" s="282"/>
      <c r="E351" s="281"/>
      <c r="F351" s="28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280"/>
      <c r="B352" s="281"/>
      <c r="C352" s="282"/>
      <c r="E352" s="281"/>
      <c r="F352" s="28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280"/>
      <c r="B353" s="281"/>
      <c r="C353" s="282"/>
      <c r="E353" s="281"/>
      <c r="F353" s="28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280"/>
      <c r="B354" s="281"/>
      <c r="C354" s="282"/>
      <c r="E354" s="281"/>
      <c r="F354" s="28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280"/>
      <c r="B355" s="281"/>
      <c r="C355" s="282"/>
      <c r="E355" s="281"/>
      <c r="F355" s="28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280"/>
      <c r="B356" s="281"/>
      <c r="C356" s="282"/>
      <c r="E356" s="281"/>
      <c r="F356" s="28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280"/>
      <c r="B357" s="281"/>
      <c r="C357" s="282"/>
      <c r="E357" s="281"/>
      <c r="F357" s="28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280"/>
      <c r="B358" s="281"/>
      <c r="C358" s="282"/>
      <c r="E358" s="281"/>
      <c r="F358" s="28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280"/>
      <c r="B359" s="281"/>
      <c r="C359" s="282"/>
      <c r="E359" s="281"/>
      <c r="F359" s="28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280"/>
      <c r="B360" s="281"/>
      <c r="C360" s="282"/>
      <c r="E360" s="281"/>
      <c r="F360" s="28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280"/>
      <c r="B361" s="281"/>
      <c r="C361" s="282"/>
      <c r="E361" s="281"/>
      <c r="F361" s="28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280"/>
      <c r="B362" s="281"/>
      <c r="C362" s="282"/>
      <c r="E362" s="281"/>
      <c r="F362" s="28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280"/>
      <c r="B363" s="281"/>
      <c r="C363" s="282"/>
      <c r="E363" s="281"/>
      <c r="F363" s="28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280"/>
      <c r="B364" s="281"/>
      <c r="C364" s="282"/>
      <c r="E364" s="281"/>
      <c r="F364" s="28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280"/>
      <c r="B365" s="281"/>
      <c r="C365" s="282"/>
      <c r="E365" s="281"/>
      <c r="F365" s="28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280"/>
      <c r="B366" s="281"/>
      <c r="C366" s="282"/>
      <c r="E366" s="281"/>
      <c r="F366" s="28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280"/>
      <c r="B367" s="281"/>
      <c r="C367" s="282"/>
      <c r="E367" s="281"/>
      <c r="F367" s="28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280"/>
      <c r="B368" s="281"/>
      <c r="C368" s="282"/>
      <c r="E368" s="281"/>
      <c r="F368" s="28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280"/>
      <c r="B369" s="281"/>
      <c r="C369" s="282"/>
      <c r="E369" s="281"/>
      <c r="F369" s="28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280"/>
      <c r="B370" s="281"/>
      <c r="C370" s="282"/>
      <c r="E370" s="281"/>
      <c r="F370" s="28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280"/>
      <c r="B371" s="281"/>
      <c r="C371" s="282"/>
      <c r="E371" s="281"/>
      <c r="F371" s="28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280"/>
      <c r="B372" s="281"/>
      <c r="C372" s="282"/>
      <c r="E372" s="281"/>
      <c r="F372" s="28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280"/>
      <c r="B373" s="281"/>
      <c r="C373" s="282"/>
      <c r="E373" s="281"/>
      <c r="F373" s="28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280"/>
      <c r="B374" s="281"/>
      <c r="C374" s="282"/>
      <c r="E374" s="281"/>
      <c r="F374" s="28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280"/>
      <c r="B375" s="281"/>
      <c r="C375" s="282"/>
      <c r="E375" s="281"/>
      <c r="F375" s="28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280"/>
      <c r="B376" s="281"/>
      <c r="C376" s="282"/>
      <c r="E376" s="281"/>
      <c r="F376" s="28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280"/>
      <c r="B377" s="281"/>
      <c r="C377" s="282"/>
      <c r="E377" s="281"/>
      <c r="F377" s="28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280"/>
      <c r="B378" s="281"/>
      <c r="C378" s="282"/>
      <c r="E378" s="281"/>
      <c r="F378" s="28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280"/>
      <c r="B379" s="281"/>
      <c r="C379" s="282"/>
      <c r="E379" s="281"/>
      <c r="F379" s="28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280"/>
      <c r="B380" s="281"/>
      <c r="C380" s="282"/>
      <c r="E380" s="281"/>
      <c r="F380" s="28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280"/>
      <c r="B381" s="281"/>
      <c r="C381" s="282"/>
      <c r="E381" s="281"/>
      <c r="F381" s="28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280"/>
      <c r="B382" s="281"/>
      <c r="C382" s="282"/>
      <c r="E382" s="281"/>
      <c r="F382" s="28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280"/>
      <c r="B383" s="281"/>
      <c r="C383" s="282"/>
      <c r="E383" s="281"/>
      <c r="F383" s="28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280"/>
      <c r="B384" s="281"/>
      <c r="C384" s="282"/>
      <c r="E384" s="281"/>
      <c r="F384" s="28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280"/>
      <c r="B385" s="281"/>
      <c r="C385" s="282"/>
      <c r="E385" s="281"/>
      <c r="F385" s="28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280"/>
      <c r="B386" s="281"/>
      <c r="C386" s="282"/>
      <c r="E386" s="281"/>
      <c r="F386" s="28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280"/>
      <c r="B387" s="281"/>
      <c r="C387" s="282"/>
      <c r="E387" s="281"/>
      <c r="F387" s="28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280"/>
      <c r="B388" s="281"/>
      <c r="C388" s="282"/>
      <c r="E388" s="281"/>
      <c r="F388" s="28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280"/>
      <c r="B389" s="281"/>
      <c r="C389" s="282"/>
      <c r="E389" s="281"/>
      <c r="F389" s="28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280"/>
      <c r="B390" s="281"/>
      <c r="C390" s="282"/>
      <c r="E390" s="281"/>
      <c r="F390" s="28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280"/>
      <c r="B391" s="281"/>
      <c r="C391" s="282"/>
      <c r="E391" s="281"/>
      <c r="F391" s="28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280"/>
      <c r="B392" s="281"/>
      <c r="C392" s="282"/>
      <c r="E392" s="281"/>
      <c r="F392" s="28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280"/>
      <c r="B393" s="281"/>
      <c r="C393" s="282"/>
      <c r="E393" s="281"/>
      <c r="F393" s="28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280"/>
      <c r="B394" s="281"/>
      <c r="C394" s="282"/>
      <c r="E394" s="281"/>
      <c r="F394" s="28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280"/>
      <c r="B395" s="281"/>
      <c r="C395" s="282"/>
      <c r="E395" s="281"/>
      <c r="F395" s="28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280"/>
      <c r="B396" s="281"/>
      <c r="C396" s="282"/>
      <c r="E396" s="281"/>
      <c r="F396" s="28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280"/>
      <c r="B397" s="281"/>
      <c r="C397" s="282"/>
      <c r="E397" s="281"/>
      <c r="F397" s="28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280"/>
      <c r="B398" s="281"/>
      <c r="C398" s="282"/>
      <c r="E398" s="281"/>
      <c r="F398" s="28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280"/>
      <c r="B399" s="281"/>
      <c r="C399" s="282"/>
      <c r="E399" s="281"/>
      <c r="F399" s="28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280"/>
      <c r="B400" s="281"/>
      <c r="C400" s="282"/>
      <c r="E400" s="281"/>
      <c r="F400" s="28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280"/>
      <c r="B401" s="281"/>
      <c r="C401" s="282"/>
      <c r="E401" s="281"/>
      <c r="F401" s="28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280"/>
      <c r="B402" s="281"/>
      <c r="C402" s="282"/>
      <c r="E402" s="281"/>
      <c r="F402" s="28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280"/>
      <c r="B403" s="281"/>
      <c r="C403" s="282"/>
      <c r="E403" s="281"/>
      <c r="F403" s="28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280"/>
      <c r="B404" s="281"/>
      <c r="C404" s="282"/>
      <c r="E404" s="281"/>
      <c r="F404" s="28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280"/>
      <c r="B405" s="281"/>
      <c r="C405" s="282"/>
      <c r="E405" s="281"/>
      <c r="F405" s="28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280"/>
      <c r="B406" s="281"/>
      <c r="C406" s="282"/>
      <c r="E406" s="281"/>
      <c r="F406" s="28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280"/>
      <c r="B407" s="281"/>
      <c r="C407" s="282"/>
      <c r="E407" s="281"/>
      <c r="F407" s="28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280"/>
      <c r="B408" s="281"/>
      <c r="C408" s="282"/>
      <c r="E408" s="281"/>
      <c r="F408" s="28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280"/>
      <c r="B409" s="281"/>
      <c r="C409" s="282"/>
      <c r="E409" s="281"/>
      <c r="F409" s="28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280"/>
      <c r="B410" s="281"/>
      <c r="C410" s="282"/>
      <c r="E410" s="281"/>
      <c r="F410" s="28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280"/>
      <c r="B411" s="281"/>
      <c r="C411" s="282"/>
      <c r="E411" s="281"/>
      <c r="F411" s="28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280"/>
      <c r="B412" s="281"/>
      <c r="C412" s="282"/>
      <c r="E412" s="281"/>
      <c r="F412" s="28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280"/>
      <c r="B413" s="281"/>
      <c r="C413" s="282"/>
      <c r="E413" s="281"/>
      <c r="F413" s="28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280"/>
      <c r="B414" s="281"/>
      <c r="C414" s="282"/>
      <c r="E414" s="281"/>
      <c r="F414" s="28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280"/>
      <c r="B415" s="281"/>
      <c r="C415" s="282"/>
      <c r="E415" s="281"/>
      <c r="F415" s="28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280"/>
      <c r="B416" s="281"/>
      <c r="C416" s="282"/>
      <c r="E416" s="281"/>
      <c r="F416" s="28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280"/>
      <c r="B417" s="281"/>
      <c r="C417" s="282"/>
      <c r="E417" s="281"/>
      <c r="F417" s="28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280"/>
      <c r="B418" s="281"/>
      <c r="C418" s="282"/>
      <c r="E418" s="281"/>
      <c r="F418" s="28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280"/>
      <c r="B419" s="281"/>
      <c r="C419" s="282"/>
      <c r="E419" s="281"/>
      <c r="F419" s="28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280"/>
      <c r="B420" s="281"/>
      <c r="C420" s="282"/>
      <c r="E420" s="281"/>
      <c r="F420" s="28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280"/>
      <c r="B421" s="281"/>
      <c r="C421" s="282"/>
      <c r="E421" s="281"/>
      <c r="F421" s="28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280"/>
      <c r="B422" s="281"/>
      <c r="C422" s="282"/>
      <c r="E422" s="281"/>
      <c r="F422" s="28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280"/>
      <c r="B423" s="281"/>
      <c r="C423" s="282"/>
      <c r="E423" s="281"/>
      <c r="F423" s="28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280"/>
      <c r="B424" s="281"/>
      <c r="C424" s="282"/>
      <c r="E424" s="281"/>
      <c r="F424" s="28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280"/>
      <c r="B425" s="281"/>
      <c r="C425" s="282"/>
      <c r="E425" s="281"/>
      <c r="F425" s="28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280"/>
      <c r="B426" s="281"/>
      <c r="C426" s="282"/>
      <c r="E426" s="281"/>
      <c r="F426" s="28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280"/>
      <c r="B427" s="281"/>
      <c r="C427" s="282"/>
      <c r="E427" s="281"/>
      <c r="F427" s="28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280"/>
      <c r="B428" s="281"/>
      <c r="C428" s="282"/>
      <c r="E428" s="281"/>
      <c r="F428" s="28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280"/>
      <c r="B429" s="281"/>
      <c r="C429" s="282"/>
      <c r="E429" s="281"/>
      <c r="F429" s="28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280"/>
      <c r="B430" s="281"/>
      <c r="C430" s="282"/>
      <c r="E430" s="281"/>
      <c r="F430" s="28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280"/>
      <c r="B431" s="281"/>
      <c r="C431" s="282"/>
      <c r="E431" s="281"/>
      <c r="F431" s="28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280"/>
      <c r="B432" s="281"/>
      <c r="C432" s="282"/>
      <c r="E432" s="281"/>
      <c r="F432" s="28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280"/>
      <c r="B433" s="281"/>
      <c r="C433" s="282"/>
      <c r="E433" s="281"/>
      <c r="F433" s="28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280"/>
      <c r="B434" s="281"/>
      <c r="C434" s="282"/>
      <c r="E434" s="281"/>
      <c r="F434" s="28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280"/>
      <c r="B435" s="281"/>
      <c r="C435" s="282"/>
      <c r="E435" s="281"/>
      <c r="F435" s="28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280"/>
      <c r="B436" s="281"/>
      <c r="C436" s="282"/>
      <c r="E436" s="281"/>
      <c r="F436" s="28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280"/>
      <c r="B437" s="281"/>
      <c r="C437" s="282"/>
      <c r="E437" s="281"/>
      <c r="F437" s="28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280"/>
      <c r="B438" s="281"/>
      <c r="C438" s="282"/>
      <c r="E438" s="281"/>
      <c r="F438" s="28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280"/>
      <c r="B439" s="281"/>
      <c r="C439" s="282"/>
      <c r="E439" s="281"/>
      <c r="F439" s="28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280"/>
      <c r="B440" s="281"/>
      <c r="C440" s="282"/>
      <c r="E440" s="281"/>
      <c r="F440" s="28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280"/>
      <c r="B441" s="281"/>
      <c r="C441" s="282"/>
      <c r="E441" s="281"/>
      <c r="F441" s="28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280"/>
      <c r="B442" s="281"/>
      <c r="C442" s="282"/>
      <c r="E442" s="281"/>
      <c r="F442" s="28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280"/>
      <c r="B443" s="281"/>
      <c r="C443" s="282"/>
      <c r="E443" s="281"/>
      <c r="F443" s="28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280"/>
      <c r="B444" s="281"/>
      <c r="C444" s="282"/>
      <c r="E444" s="281"/>
      <c r="F444" s="28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280"/>
      <c r="B445" s="281"/>
      <c r="C445" s="282"/>
      <c r="E445" s="281"/>
      <c r="F445" s="28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280"/>
      <c r="B446" s="281"/>
      <c r="C446" s="282"/>
      <c r="E446" s="281"/>
      <c r="F446" s="28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280"/>
      <c r="B447" s="281"/>
      <c r="C447" s="282"/>
      <c r="E447" s="281"/>
      <c r="F447" s="28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280"/>
      <c r="B448" s="281"/>
      <c r="C448" s="282"/>
      <c r="E448" s="281"/>
      <c r="F448" s="28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280"/>
      <c r="B449" s="281"/>
      <c r="C449" s="282"/>
      <c r="E449" s="281"/>
      <c r="F449" s="28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280"/>
      <c r="B450" s="281"/>
      <c r="C450" s="282"/>
      <c r="E450" s="281"/>
      <c r="F450" s="28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280"/>
      <c r="B451" s="281"/>
      <c r="C451" s="282"/>
      <c r="E451" s="281"/>
      <c r="F451" s="28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280"/>
      <c r="B452" s="281"/>
      <c r="C452" s="282"/>
      <c r="E452" s="281"/>
      <c r="F452" s="28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280"/>
      <c r="B453" s="281"/>
      <c r="C453" s="282"/>
      <c r="E453" s="281"/>
      <c r="F453" s="28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280"/>
      <c r="B454" s="281"/>
      <c r="C454" s="282"/>
      <c r="E454" s="281"/>
      <c r="F454" s="28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280"/>
      <c r="B455" s="281"/>
      <c r="C455" s="282"/>
      <c r="E455" s="281"/>
      <c r="F455" s="28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280"/>
      <c r="B456" s="281"/>
      <c r="C456" s="282"/>
      <c r="E456" s="281"/>
      <c r="F456" s="28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280"/>
      <c r="B457" s="281"/>
      <c r="C457" s="282"/>
      <c r="E457" s="281"/>
      <c r="F457" s="28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280"/>
      <c r="B458" s="281"/>
      <c r="C458" s="282"/>
      <c r="E458" s="281"/>
      <c r="F458" s="28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280"/>
      <c r="B459" s="281"/>
      <c r="C459" s="282"/>
      <c r="E459" s="281"/>
      <c r="F459" s="28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280"/>
      <c r="B460" s="281"/>
      <c r="C460" s="282"/>
      <c r="E460" s="281"/>
      <c r="F460" s="28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280"/>
      <c r="B461" s="281"/>
      <c r="C461" s="282"/>
      <c r="E461" s="281"/>
      <c r="F461" s="28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280"/>
      <c r="B462" s="281"/>
      <c r="C462" s="282"/>
      <c r="E462" s="281"/>
      <c r="F462" s="28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280"/>
      <c r="B463" s="281"/>
      <c r="C463" s="282"/>
      <c r="E463" s="281"/>
      <c r="F463" s="282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280"/>
      <c r="B464" s="281"/>
      <c r="C464" s="282"/>
      <c r="E464" s="281"/>
      <c r="F464" s="282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280"/>
      <c r="B465" s="281"/>
      <c r="C465" s="282"/>
      <c r="E465" s="281"/>
      <c r="F465" s="28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280"/>
      <c r="B466" s="281"/>
      <c r="C466" s="282"/>
      <c r="E466" s="281"/>
      <c r="F466" s="282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280"/>
      <c r="B467" s="281"/>
      <c r="C467" s="282"/>
      <c r="E467" s="281"/>
      <c r="F467" s="282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280"/>
      <c r="B468" s="281"/>
      <c r="C468" s="282"/>
      <c r="E468" s="281"/>
      <c r="F468" s="28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280"/>
      <c r="B469" s="281"/>
      <c r="C469" s="282"/>
      <c r="E469" s="281"/>
      <c r="F469" s="282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280"/>
      <c r="B470" s="281"/>
      <c r="C470" s="282"/>
      <c r="E470" s="281"/>
      <c r="F470" s="282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280"/>
      <c r="B471" s="281"/>
      <c r="C471" s="282"/>
      <c r="E471" s="281"/>
      <c r="F471" s="28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280"/>
      <c r="B472" s="281"/>
      <c r="C472" s="282"/>
      <c r="E472" s="281"/>
      <c r="F472" s="282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280"/>
      <c r="B473" s="281"/>
      <c r="C473" s="282"/>
      <c r="E473" s="281"/>
      <c r="F473" s="282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280"/>
      <c r="B474" s="281"/>
      <c r="C474" s="282"/>
      <c r="E474" s="281"/>
      <c r="F474" s="28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280"/>
      <c r="B475" s="281"/>
      <c r="C475" s="282"/>
      <c r="E475" s="281"/>
      <c r="F475" s="282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280"/>
      <c r="B476" s="281"/>
      <c r="C476" s="282"/>
      <c r="E476" s="281"/>
      <c r="F476" s="282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280"/>
      <c r="B477" s="281"/>
      <c r="C477" s="282"/>
      <c r="E477" s="281"/>
      <c r="F477" s="28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280"/>
      <c r="B478" s="281"/>
      <c r="C478" s="282"/>
      <c r="E478" s="281"/>
      <c r="F478" s="282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280"/>
      <c r="B479" s="281"/>
      <c r="C479" s="282"/>
      <c r="E479" s="281"/>
      <c r="F479" s="282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280"/>
      <c r="B480" s="281"/>
      <c r="C480" s="282"/>
      <c r="E480" s="281"/>
      <c r="F480" s="28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280"/>
      <c r="B481" s="281"/>
      <c r="C481" s="282"/>
      <c r="E481" s="281"/>
      <c r="F481" s="282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280"/>
      <c r="B482" s="281"/>
      <c r="C482" s="282"/>
      <c r="E482" s="281"/>
      <c r="F482" s="282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280"/>
      <c r="B483" s="281"/>
      <c r="C483" s="282"/>
      <c r="E483" s="281"/>
      <c r="F483" s="28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280"/>
      <c r="B484" s="281"/>
      <c r="C484" s="282"/>
      <c r="E484" s="281"/>
      <c r="F484" s="282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280"/>
      <c r="B485" s="281"/>
      <c r="C485" s="282"/>
      <c r="E485" s="281"/>
      <c r="F485" s="282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280"/>
      <c r="B486" s="281"/>
      <c r="C486" s="282"/>
      <c r="E486" s="281"/>
      <c r="F486" s="28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280"/>
      <c r="B487" s="281"/>
      <c r="C487" s="282"/>
      <c r="E487" s="281"/>
      <c r="F487" s="282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280"/>
      <c r="B488" s="281"/>
      <c r="C488" s="282"/>
      <c r="E488" s="281"/>
      <c r="F488" s="282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280"/>
      <c r="B489" s="281"/>
      <c r="C489" s="282"/>
      <c r="E489" s="281"/>
      <c r="F489" s="28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280"/>
      <c r="B490" s="281"/>
      <c r="C490" s="282"/>
      <c r="E490" s="281"/>
      <c r="F490" s="282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280"/>
      <c r="B491" s="281"/>
      <c r="C491" s="282"/>
      <c r="E491" s="281"/>
      <c r="F491" s="282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280"/>
      <c r="B492" s="281"/>
      <c r="C492" s="282"/>
      <c r="E492" s="281"/>
      <c r="F492" s="28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280"/>
      <c r="B493" s="281"/>
      <c r="C493" s="282"/>
      <c r="E493" s="281"/>
      <c r="F493" s="282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280"/>
      <c r="B494" s="281"/>
      <c r="C494" s="282"/>
      <c r="E494" s="281"/>
      <c r="F494" s="282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280"/>
      <c r="B495" s="281"/>
      <c r="C495" s="282"/>
      <c r="E495" s="281"/>
      <c r="F495" s="28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280"/>
      <c r="B496" s="281"/>
      <c r="C496" s="282"/>
      <c r="E496" s="281"/>
      <c r="F496" s="282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280"/>
      <c r="B497" s="281"/>
      <c r="C497" s="282"/>
      <c r="E497" s="281"/>
      <c r="F497" s="282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280"/>
      <c r="B498" s="281"/>
      <c r="C498" s="282"/>
      <c r="E498" s="281"/>
      <c r="F498" s="28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280"/>
      <c r="B499" s="281"/>
      <c r="C499" s="282"/>
      <c r="E499" s="281"/>
      <c r="F499" s="282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280"/>
      <c r="B500" s="281"/>
      <c r="C500" s="282"/>
      <c r="E500" s="281"/>
      <c r="F500" s="282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280"/>
      <c r="B501" s="281"/>
      <c r="C501" s="282"/>
      <c r="E501" s="281"/>
      <c r="F501" s="28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280"/>
      <c r="B502" s="281"/>
      <c r="C502" s="282"/>
      <c r="E502" s="281"/>
      <c r="F502" s="282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280"/>
      <c r="B503" s="281"/>
      <c r="C503" s="282"/>
      <c r="E503" s="281"/>
      <c r="F503" s="282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280"/>
      <c r="B504" s="281"/>
      <c r="C504" s="282"/>
      <c r="E504" s="281"/>
      <c r="F504" s="28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280"/>
      <c r="B505" s="281"/>
      <c r="C505" s="282"/>
      <c r="E505" s="281"/>
      <c r="F505" s="282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280"/>
      <c r="B506" s="281"/>
      <c r="C506" s="282"/>
      <c r="E506" s="281"/>
      <c r="F506" s="282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280"/>
      <c r="B507" s="281"/>
      <c r="C507" s="282"/>
      <c r="E507" s="281"/>
      <c r="F507" s="28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280"/>
      <c r="B508" s="281"/>
      <c r="C508" s="282"/>
      <c r="E508" s="281"/>
      <c r="F508" s="282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280"/>
      <c r="B509" s="281"/>
      <c r="C509" s="282"/>
      <c r="E509" s="281"/>
      <c r="F509" s="282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280"/>
      <c r="B510" s="281"/>
      <c r="C510" s="282"/>
      <c r="E510" s="281"/>
      <c r="F510" s="28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280"/>
      <c r="B511" s="281"/>
      <c r="C511" s="282"/>
      <c r="E511" s="281"/>
      <c r="F511" s="282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280"/>
      <c r="B512" s="281"/>
      <c r="C512" s="282"/>
      <c r="E512" s="281"/>
      <c r="F512" s="282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280"/>
      <c r="B513" s="281"/>
      <c r="C513" s="282"/>
      <c r="E513" s="281"/>
      <c r="F513" s="28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280"/>
      <c r="B514" s="281"/>
      <c r="C514" s="282"/>
      <c r="E514" s="281"/>
      <c r="F514" s="282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280"/>
      <c r="B515" s="281"/>
      <c r="C515" s="282"/>
      <c r="E515" s="281"/>
      <c r="F515" s="282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280"/>
      <c r="B516" s="281"/>
      <c r="C516" s="282"/>
      <c r="E516" s="281"/>
      <c r="F516" s="28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280"/>
      <c r="B517" s="281"/>
      <c r="C517" s="282"/>
      <c r="E517" s="281"/>
      <c r="F517" s="282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280"/>
      <c r="B518" s="281"/>
      <c r="C518" s="282"/>
      <c r="E518" s="281"/>
      <c r="F518" s="282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280"/>
      <c r="B519" s="281"/>
      <c r="C519" s="282"/>
      <c r="E519" s="281"/>
      <c r="F519" s="28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280"/>
      <c r="B520" s="281"/>
      <c r="C520" s="282"/>
      <c r="E520" s="281"/>
      <c r="F520" s="282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280"/>
      <c r="B521" s="281"/>
      <c r="C521" s="282"/>
      <c r="E521" s="281"/>
      <c r="F521" s="282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280"/>
      <c r="B522" s="281"/>
      <c r="C522" s="282"/>
      <c r="E522" s="281"/>
      <c r="F522" s="28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280"/>
      <c r="B523" s="281"/>
      <c r="C523" s="282"/>
      <c r="E523" s="281"/>
      <c r="F523" s="282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280"/>
      <c r="B524" s="281"/>
      <c r="C524" s="282"/>
      <c r="E524" s="281"/>
      <c r="F524" s="282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280"/>
      <c r="B525" s="281"/>
      <c r="C525" s="282"/>
      <c r="E525" s="281"/>
      <c r="F525" s="28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280"/>
      <c r="B526" s="281"/>
      <c r="C526" s="282"/>
      <c r="E526" s="281"/>
      <c r="F526" s="282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280"/>
      <c r="B527" s="281"/>
      <c r="C527" s="282"/>
      <c r="E527" s="281"/>
      <c r="F527" s="282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280"/>
      <c r="B528" s="281"/>
      <c r="C528" s="282"/>
      <c r="E528" s="281"/>
      <c r="F528" s="28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280"/>
      <c r="B529" s="281"/>
      <c r="C529" s="282"/>
      <c r="E529" s="281"/>
      <c r="F529" s="282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280"/>
      <c r="B530" s="281"/>
      <c r="C530" s="282"/>
      <c r="E530" s="281"/>
      <c r="F530" s="282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280"/>
      <c r="B531" s="281"/>
      <c r="C531" s="282"/>
      <c r="E531" s="281"/>
      <c r="F531" s="28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280"/>
      <c r="B532" s="281"/>
      <c r="C532" s="282"/>
      <c r="E532" s="281"/>
      <c r="F532" s="282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280"/>
      <c r="B533" s="281"/>
      <c r="C533" s="282"/>
      <c r="E533" s="281"/>
      <c r="F533" s="282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280"/>
      <c r="B534" s="281"/>
      <c r="C534" s="282"/>
      <c r="E534" s="281"/>
      <c r="F534" s="28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280"/>
      <c r="B535" s="281"/>
      <c r="C535" s="282"/>
      <c r="E535" s="281"/>
      <c r="F535" s="282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280"/>
      <c r="B536" s="281"/>
      <c r="C536" s="282"/>
      <c r="E536" s="281"/>
      <c r="F536" s="282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280"/>
      <c r="B537" s="281"/>
      <c r="C537" s="282"/>
      <c r="E537" s="281"/>
      <c r="F537" s="28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280"/>
      <c r="B538" s="281"/>
      <c r="C538" s="282"/>
      <c r="E538" s="281"/>
      <c r="F538" s="282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280"/>
      <c r="B539" s="281"/>
      <c r="C539" s="282"/>
      <c r="E539" s="281"/>
      <c r="F539" s="282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280"/>
      <c r="B540" s="281"/>
      <c r="C540" s="282"/>
      <c r="E540" s="281"/>
      <c r="F540" s="28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280"/>
      <c r="B541" s="281"/>
      <c r="C541" s="282"/>
      <c r="E541" s="281"/>
      <c r="F541" s="282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280"/>
      <c r="B542" s="281"/>
      <c r="C542" s="282"/>
      <c r="E542" s="281"/>
      <c r="F542" s="282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280"/>
      <c r="B543" s="281"/>
      <c r="C543" s="282"/>
      <c r="E543" s="281"/>
      <c r="F543" s="28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280"/>
      <c r="B544" s="281"/>
      <c r="C544" s="282"/>
      <c r="E544" s="281"/>
      <c r="F544" s="282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280"/>
      <c r="B545" s="281"/>
      <c r="C545" s="282"/>
      <c r="E545" s="281"/>
      <c r="F545" s="282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280"/>
      <c r="B546" s="281"/>
      <c r="C546" s="282"/>
      <c r="E546" s="281"/>
      <c r="F546" s="28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280"/>
      <c r="B547" s="281"/>
      <c r="C547" s="282"/>
      <c r="E547" s="281"/>
      <c r="F547" s="282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280"/>
      <c r="B548" s="281"/>
      <c r="C548" s="282"/>
      <c r="E548" s="281"/>
      <c r="F548" s="282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280"/>
      <c r="B549" s="281"/>
      <c r="C549" s="282"/>
      <c r="E549" s="281"/>
      <c r="F549" s="28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280"/>
      <c r="B550" s="281"/>
      <c r="C550" s="282"/>
      <c r="E550" s="281"/>
      <c r="F550" s="282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280"/>
      <c r="B551" s="281"/>
      <c r="C551" s="282"/>
      <c r="E551" s="281"/>
      <c r="F551" s="282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280"/>
      <c r="B552" s="281"/>
      <c r="C552" s="282"/>
      <c r="E552" s="281"/>
      <c r="F552" s="28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280"/>
      <c r="B553" s="281"/>
      <c r="C553" s="282"/>
      <c r="E553" s="281"/>
      <c r="F553" s="282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280"/>
      <c r="B554" s="281"/>
      <c r="C554" s="282"/>
      <c r="E554" s="281"/>
      <c r="F554" s="282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280"/>
      <c r="B555" s="281"/>
      <c r="C555" s="282"/>
      <c r="E555" s="281"/>
      <c r="F555" s="28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280"/>
      <c r="B556" s="281"/>
      <c r="C556" s="282"/>
      <c r="E556" s="281"/>
      <c r="F556" s="282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280"/>
      <c r="B557" s="281"/>
      <c r="C557" s="282"/>
      <c r="E557" s="281"/>
      <c r="F557" s="282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280"/>
      <c r="B558" s="281"/>
      <c r="C558" s="282"/>
      <c r="E558" s="281"/>
      <c r="F558" s="28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280"/>
      <c r="B559" s="281"/>
      <c r="C559" s="282"/>
      <c r="E559" s="281"/>
      <c r="F559" s="282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280"/>
      <c r="B560" s="281"/>
      <c r="C560" s="282"/>
      <c r="E560" s="281"/>
      <c r="F560" s="282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280"/>
      <c r="B561" s="281"/>
      <c r="C561" s="282"/>
      <c r="E561" s="281"/>
      <c r="F561" s="28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280"/>
      <c r="B562" s="281"/>
      <c r="C562" s="282"/>
      <c r="E562" s="281"/>
      <c r="F562" s="282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280"/>
      <c r="B563" s="281"/>
      <c r="C563" s="282"/>
      <c r="E563" s="281"/>
      <c r="F563" s="282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280"/>
      <c r="B564" s="281"/>
      <c r="C564" s="282"/>
      <c r="E564" s="281"/>
      <c r="F564" s="28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280"/>
      <c r="B565" s="281"/>
      <c r="C565" s="282"/>
      <c r="E565" s="281"/>
      <c r="F565" s="282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280"/>
      <c r="B566" s="281"/>
      <c r="C566" s="282"/>
      <c r="E566" s="281"/>
      <c r="F566" s="282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280"/>
      <c r="B567" s="281"/>
      <c r="C567" s="282"/>
      <c r="E567" s="281"/>
      <c r="F567" s="28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280"/>
      <c r="B568" s="281"/>
      <c r="C568" s="282"/>
      <c r="E568" s="281"/>
      <c r="F568" s="282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280"/>
      <c r="B569" s="281"/>
      <c r="C569" s="282"/>
      <c r="E569" s="281"/>
      <c r="F569" s="282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280"/>
      <c r="B570" s="281"/>
      <c r="C570" s="282"/>
      <c r="E570" s="281"/>
      <c r="F570" s="28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280"/>
      <c r="B571" s="281"/>
      <c r="C571" s="282"/>
      <c r="E571" s="281"/>
      <c r="F571" s="282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280"/>
      <c r="B572" s="281"/>
      <c r="C572" s="282"/>
      <c r="E572" s="281"/>
      <c r="F572" s="282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280"/>
      <c r="B573" s="281"/>
      <c r="C573" s="282"/>
      <c r="E573" s="281"/>
      <c r="F573" s="28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280"/>
      <c r="B574" s="281"/>
      <c r="C574" s="282"/>
      <c r="E574" s="281"/>
      <c r="F574" s="282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280"/>
      <c r="B575" s="281"/>
      <c r="C575" s="282"/>
      <c r="E575" s="281"/>
      <c r="F575" s="282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280"/>
      <c r="B576" s="281"/>
      <c r="C576" s="282"/>
      <c r="E576" s="281"/>
      <c r="F576" s="28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280"/>
      <c r="B577" s="281"/>
      <c r="C577" s="282"/>
      <c r="E577" s="281"/>
      <c r="F577" s="282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280"/>
      <c r="B578" s="281"/>
      <c r="C578" s="282"/>
      <c r="E578" s="281"/>
      <c r="F578" s="282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280"/>
      <c r="B579" s="281"/>
      <c r="C579" s="282"/>
      <c r="E579" s="281"/>
      <c r="F579" s="28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280"/>
      <c r="B580" s="281"/>
      <c r="C580" s="282"/>
      <c r="E580" s="281"/>
      <c r="F580" s="282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280"/>
      <c r="B581" s="281"/>
      <c r="C581" s="282"/>
      <c r="E581" s="281"/>
      <c r="F581" s="282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280"/>
      <c r="B582" s="281"/>
      <c r="C582" s="282"/>
      <c r="E582" s="281"/>
      <c r="F582" s="28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280"/>
      <c r="B583" s="281"/>
      <c r="C583" s="282"/>
      <c r="E583" s="281"/>
      <c r="F583" s="282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280"/>
      <c r="B584" s="281"/>
      <c r="C584" s="282"/>
      <c r="E584" s="281"/>
      <c r="F584" s="282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280"/>
      <c r="B585" s="281"/>
      <c r="C585" s="282"/>
      <c r="E585" s="281"/>
      <c r="F585" s="28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280"/>
      <c r="B586" s="281"/>
      <c r="C586" s="282"/>
      <c r="E586" s="281"/>
      <c r="F586" s="282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280"/>
      <c r="B587" s="281"/>
      <c r="C587" s="282"/>
      <c r="E587" s="281"/>
      <c r="F587" s="282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280"/>
      <c r="B588" s="281"/>
      <c r="C588" s="282"/>
      <c r="E588" s="281"/>
      <c r="F588" s="28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280"/>
      <c r="B589" s="281"/>
      <c r="C589" s="282"/>
      <c r="E589" s="281"/>
      <c r="F589" s="282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280"/>
      <c r="B590" s="281"/>
      <c r="C590" s="282"/>
      <c r="E590" s="281"/>
      <c r="F590" s="282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280"/>
      <c r="B591" s="281"/>
      <c r="C591" s="282"/>
      <c r="E591" s="281"/>
      <c r="F591" s="28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280"/>
      <c r="B592" s="281"/>
      <c r="C592" s="282"/>
      <c r="E592" s="281"/>
      <c r="F592" s="282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280"/>
      <c r="B593" s="281"/>
      <c r="C593" s="282"/>
      <c r="E593" s="281"/>
      <c r="F593" s="282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280"/>
      <c r="B594" s="281"/>
      <c r="C594" s="282"/>
      <c r="E594" s="281"/>
      <c r="F594" s="28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280"/>
      <c r="B595" s="281"/>
      <c r="C595" s="282"/>
      <c r="E595" s="281"/>
      <c r="F595" s="282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280"/>
      <c r="B596" s="281"/>
      <c r="C596" s="282"/>
      <c r="E596" s="281"/>
      <c r="F596" s="282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280"/>
      <c r="B597" s="281"/>
      <c r="C597" s="282"/>
      <c r="E597" s="281"/>
      <c r="F597" s="28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280"/>
      <c r="B598" s="281"/>
      <c r="C598" s="282"/>
      <c r="E598" s="281"/>
      <c r="F598" s="282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280"/>
      <c r="B599" s="281"/>
      <c r="C599" s="282"/>
      <c r="E599" s="281"/>
      <c r="F599" s="282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280"/>
      <c r="B600" s="281"/>
      <c r="C600" s="282"/>
      <c r="E600" s="281"/>
      <c r="F600" s="28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280"/>
      <c r="B601" s="281"/>
      <c r="C601" s="282"/>
      <c r="E601" s="281"/>
      <c r="F601" s="282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280"/>
      <c r="B602" s="281"/>
      <c r="C602" s="282"/>
      <c r="E602" s="281"/>
      <c r="F602" s="282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280"/>
      <c r="B603" s="281"/>
      <c r="C603" s="282"/>
      <c r="E603" s="281"/>
      <c r="F603" s="28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280"/>
      <c r="B604" s="281"/>
      <c r="C604" s="282"/>
      <c r="E604" s="281"/>
      <c r="F604" s="282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280"/>
      <c r="B605" s="281"/>
      <c r="C605" s="282"/>
      <c r="E605" s="281"/>
      <c r="F605" s="282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280"/>
      <c r="B606" s="281"/>
      <c r="C606" s="282"/>
      <c r="E606" s="281"/>
      <c r="F606" s="28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280"/>
      <c r="B607" s="281"/>
      <c r="C607" s="282"/>
      <c r="E607" s="281"/>
      <c r="F607" s="282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280"/>
      <c r="B608" s="281"/>
      <c r="C608" s="282"/>
      <c r="E608" s="281"/>
      <c r="F608" s="282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280"/>
      <c r="B609" s="281"/>
      <c r="C609" s="282"/>
      <c r="E609" s="281"/>
      <c r="F609" s="28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280"/>
      <c r="B610" s="281"/>
      <c r="C610" s="282"/>
      <c r="E610" s="281"/>
      <c r="F610" s="282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280"/>
      <c r="B611" s="281"/>
      <c r="C611" s="282"/>
      <c r="E611" s="281"/>
      <c r="F611" s="282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280"/>
      <c r="B612" s="281"/>
      <c r="C612" s="282"/>
      <c r="E612" s="281"/>
      <c r="F612" s="28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280"/>
      <c r="B613" s="281"/>
      <c r="C613" s="282"/>
      <c r="E613" s="281"/>
      <c r="F613" s="282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280"/>
      <c r="B614" s="281"/>
      <c r="C614" s="282"/>
      <c r="E614" s="281"/>
      <c r="F614" s="282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280"/>
      <c r="B615" s="281"/>
      <c r="C615" s="282"/>
      <c r="E615" s="281"/>
      <c r="F615" s="28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280"/>
      <c r="B616" s="281"/>
      <c r="C616" s="282"/>
      <c r="E616" s="281"/>
      <c r="F616" s="282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280"/>
      <c r="B617" s="281"/>
      <c r="C617" s="282"/>
      <c r="E617" s="281"/>
      <c r="F617" s="282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280"/>
      <c r="B618" s="281"/>
      <c r="C618" s="282"/>
      <c r="E618" s="281"/>
      <c r="F618" s="28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280"/>
      <c r="B619" s="281"/>
      <c r="C619" s="282"/>
      <c r="E619" s="281"/>
      <c r="F619" s="282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280"/>
      <c r="B620" s="281"/>
      <c r="C620" s="282"/>
      <c r="E620" s="281"/>
      <c r="F620" s="282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280"/>
      <c r="B621" s="281"/>
      <c r="C621" s="282"/>
      <c r="E621" s="281"/>
      <c r="F621" s="28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280"/>
      <c r="B622" s="281"/>
      <c r="C622" s="282"/>
      <c r="E622" s="281"/>
      <c r="F622" s="282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280"/>
      <c r="B623" s="281"/>
      <c r="C623" s="282"/>
      <c r="E623" s="281"/>
      <c r="F623" s="282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280"/>
      <c r="B624" s="281"/>
      <c r="C624" s="282"/>
      <c r="E624" s="281"/>
      <c r="F624" s="28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280"/>
      <c r="B625" s="281"/>
      <c r="C625" s="282"/>
      <c r="E625" s="281"/>
      <c r="F625" s="282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280"/>
      <c r="B626" s="281"/>
      <c r="C626" s="282"/>
      <c r="E626" s="281"/>
      <c r="F626" s="282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280"/>
      <c r="B627" s="281"/>
      <c r="C627" s="282"/>
      <c r="E627" s="281"/>
      <c r="F627" s="28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280"/>
      <c r="B628" s="281"/>
      <c r="C628" s="282"/>
      <c r="E628" s="281"/>
      <c r="F628" s="282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280"/>
      <c r="B629" s="281"/>
      <c r="C629" s="282"/>
      <c r="E629" s="281"/>
      <c r="F629" s="282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280"/>
      <c r="B630" s="281"/>
      <c r="C630" s="282"/>
      <c r="E630" s="281"/>
      <c r="F630" s="28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280"/>
      <c r="B631" s="281"/>
      <c r="C631" s="282"/>
      <c r="E631" s="281"/>
      <c r="F631" s="282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280"/>
      <c r="B632" s="281"/>
      <c r="C632" s="282"/>
      <c r="E632" s="281"/>
      <c r="F632" s="282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280"/>
      <c r="B633" s="281"/>
      <c r="C633" s="282"/>
      <c r="E633" s="281"/>
      <c r="F633" s="28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280"/>
      <c r="B634" s="281"/>
      <c r="C634" s="282"/>
      <c r="E634" s="281"/>
      <c r="F634" s="282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280"/>
      <c r="B635" s="281"/>
      <c r="C635" s="282"/>
      <c r="E635" s="281"/>
      <c r="F635" s="282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280"/>
      <c r="B636" s="281"/>
      <c r="C636" s="282"/>
      <c r="E636" s="281"/>
      <c r="F636" s="28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280"/>
      <c r="B637" s="281"/>
      <c r="C637" s="282"/>
      <c r="E637" s="281"/>
      <c r="F637" s="282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280"/>
      <c r="B638" s="281"/>
      <c r="C638" s="282"/>
      <c r="E638" s="281"/>
      <c r="F638" s="282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280"/>
      <c r="B639" s="281"/>
      <c r="C639" s="282"/>
      <c r="E639" s="281"/>
      <c r="F639" s="28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280"/>
      <c r="B640" s="281"/>
      <c r="C640" s="282"/>
      <c r="E640" s="281"/>
      <c r="F640" s="282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280"/>
      <c r="B641" s="281"/>
      <c r="C641" s="282"/>
      <c r="E641" s="281"/>
      <c r="F641" s="282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280"/>
      <c r="B642" s="281"/>
      <c r="C642" s="282"/>
      <c r="E642" s="281"/>
      <c r="F642" s="28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280"/>
      <c r="B643" s="281"/>
      <c r="C643" s="282"/>
      <c r="E643" s="281"/>
      <c r="F643" s="282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280"/>
      <c r="B644" s="281"/>
      <c r="C644" s="282"/>
      <c r="E644" s="281"/>
      <c r="F644" s="282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280"/>
      <c r="B645" s="281"/>
      <c r="C645" s="282"/>
      <c r="E645" s="281"/>
      <c r="F645" s="28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280"/>
      <c r="B646" s="281"/>
      <c r="C646" s="282"/>
      <c r="E646" s="281"/>
      <c r="F646" s="282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280"/>
      <c r="B647" s="281"/>
      <c r="C647" s="282"/>
      <c r="E647" s="281"/>
      <c r="F647" s="282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280"/>
      <c r="B648" s="281"/>
      <c r="C648" s="282"/>
      <c r="E648" s="281"/>
      <c r="F648" s="28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280"/>
      <c r="B649" s="281"/>
      <c r="C649" s="282"/>
      <c r="E649" s="281"/>
      <c r="F649" s="282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280"/>
      <c r="B650" s="281"/>
      <c r="C650" s="282"/>
      <c r="E650" s="281"/>
      <c r="F650" s="282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280"/>
      <c r="B651" s="281"/>
      <c r="C651" s="282"/>
      <c r="E651" s="281"/>
      <c r="F651" s="28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280"/>
      <c r="B652" s="281"/>
      <c r="C652" s="282"/>
      <c r="E652" s="281"/>
      <c r="F652" s="282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280"/>
      <c r="B653" s="281"/>
      <c r="C653" s="282"/>
      <c r="E653" s="281"/>
      <c r="F653" s="282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280"/>
      <c r="B654" s="281"/>
      <c r="C654" s="282"/>
      <c r="E654" s="281"/>
      <c r="F654" s="28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280"/>
      <c r="B655" s="281"/>
      <c r="C655" s="282"/>
      <c r="E655" s="281"/>
      <c r="F655" s="282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280"/>
      <c r="B656" s="281"/>
      <c r="C656" s="282"/>
      <c r="E656" s="281"/>
      <c r="F656" s="282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280"/>
      <c r="B657" s="281"/>
      <c r="C657" s="282"/>
      <c r="E657" s="281"/>
      <c r="F657" s="28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280"/>
      <c r="B658" s="281"/>
      <c r="C658" s="282"/>
      <c r="E658" s="281"/>
      <c r="F658" s="282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280"/>
      <c r="B659" s="281"/>
      <c r="C659" s="282"/>
      <c r="E659" s="281"/>
      <c r="F659" s="282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280"/>
      <c r="B660" s="281"/>
      <c r="C660" s="282"/>
      <c r="E660" s="281"/>
      <c r="F660" s="28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280"/>
      <c r="B661" s="281"/>
      <c r="C661" s="282"/>
      <c r="E661" s="281"/>
      <c r="F661" s="282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280"/>
      <c r="B662" s="281"/>
      <c r="C662" s="282"/>
      <c r="E662" s="281"/>
      <c r="F662" s="282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280"/>
      <c r="B663" s="281"/>
      <c r="C663" s="282"/>
      <c r="E663" s="281"/>
      <c r="F663" s="28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280"/>
      <c r="B664" s="281"/>
      <c r="C664" s="282"/>
      <c r="E664" s="281"/>
      <c r="F664" s="282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280"/>
      <c r="B665" s="281"/>
      <c r="C665" s="282"/>
      <c r="E665" s="281"/>
      <c r="F665" s="282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280"/>
      <c r="B666" s="281"/>
      <c r="C666" s="282"/>
      <c r="E666" s="281"/>
      <c r="F666" s="28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280"/>
      <c r="B667" s="281"/>
      <c r="C667" s="282"/>
      <c r="E667" s="281"/>
      <c r="F667" s="282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280"/>
      <c r="B668" s="281"/>
      <c r="C668" s="282"/>
      <c r="E668" s="281"/>
      <c r="F668" s="282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280"/>
      <c r="B669" s="281"/>
      <c r="C669" s="282"/>
      <c r="E669" s="281"/>
      <c r="F669" s="28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280"/>
      <c r="B670" s="281"/>
      <c r="C670" s="282"/>
      <c r="E670" s="281"/>
      <c r="F670" s="282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280"/>
      <c r="B671" s="281"/>
      <c r="C671" s="282"/>
      <c r="E671" s="281"/>
      <c r="F671" s="282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280"/>
      <c r="B672" s="281"/>
      <c r="C672" s="282"/>
      <c r="E672" s="281"/>
      <c r="F672" s="28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280"/>
      <c r="B673" s="281"/>
      <c r="C673" s="282"/>
      <c r="E673" s="281"/>
      <c r="F673" s="282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280"/>
      <c r="B674" s="281"/>
      <c r="C674" s="282"/>
      <c r="E674" s="281"/>
      <c r="F674" s="282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280"/>
      <c r="B675" s="281"/>
      <c r="C675" s="282"/>
      <c r="E675" s="281"/>
      <c r="F675" s="28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280"/>
      <c r="B676" s="281"/>
      <c r="C676" s="282"/>
      <c r="E676" s="281"/>
      <c r="F676" s="282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280"/>
      <c r="B677" s="281"/>
      <c r="C677" s="282"/>
      <c r="E677" s="281"/>
      <c r="F677" s="282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280"/>
      <c r="B678" s="281"/>
      <c r="C678" s="282"/>
      <c r="E678" s="281"/>
      <c r="F678" s="28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280"/>
      <c r="B679" s="281"/>
      <c r="C679" s="282"/>
      <c r="E679" s="281"/>
      <c r="F679" s="282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280"/>
      <c r="B680" s="281"/>
      <c r="C680" s="282"/>
      <c r="E680" s="281"/>
      <c r="F680" s="282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280"/>
      <c r="B681" s="281"/>
      <c r="C681" s="282"/>
      <c r="E681" s="281"/>
      <c r="F681" s="28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280"/>
      <c r="B682" s="281"/>
      <c r="C682" s="282"/>
      <c r="E682" s="281"/>
      <c r="F682" s="282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280"/>
      <c r="B683" s="281"/>
      <c r="C683" s="282"/>
      <c r="E683" s="281"/>
      <c r="F683" s="282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280"/>
      <c r="B684" s="281"/>
      <c r="C684" s="282"/>
      <c r="E684" s="281"/>
      <c r="F684" s="28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280"/>
      <c r="B685" s="281"/>
      <c r="C685" s="282"/>
      <c r="E685" s="281"/>
      <c r="F685" s="282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280"/>
      <c r="B686" s="281"/>
      <c r="C686" s="282"/>
      <c r="E686" s="281"/>
      <c r="F686" s="282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280"/>
      <c r="B687" s="281"/>
      <c r="C687" s="282"/>
      <c r="E687" s="281"/>
      <c r="F687" s="28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280"/>
      <c r="B688" s="281"/>
      <c r="C688" s="282"/>
      <c r="E688" s="281"/>
      <c r="F688" s="282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280"/>
      <c r="B689" s="281"/>
      <c r="C689" s="282"/>
      <c r="E689" s="281"/>
      <c r="F689" s="282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280"/>
      <c r="B690" s="281"/>
      <c r="C690" s="282"/>
      <c r="E690" s="281"/>
      <c r="F690" s="28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280"/>
      <c r="B691" s="281"/>
      <c r="C691" s="282"/>
      <c r="E691" s="281"/>
      <c r="F691" s="282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280"/>
      <c r="B692" s="281"/>
      <c r="C692" s="282"/>
      <c r="E692" s="281"/>
      <c r="F692" s="282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280"/>
      <c r="B693" s="281"/>
      <c r="C693" s="282"/>
      <c r="E693" s="281"/>
      <c r="F693" s="28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280"/>
      <c r="B694" s="281"/>
      <c r="C694" s="282"/>
      <c r="E694" s="281"/>
      <c r="F694" s="282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280"/>
      <c r="B695" s="281"/>
      <c r="C695" s="282"/>
      <c r="E695" s="281"/>
      <c r="F695" s="282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280"/>
      <c r="B696" s="281"/>
      <c r="C696" s="282"/>
      <c r="E696" s="281"/>
      <c r="F696" s="28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280"/>
      <c r="B697" s="281"/>
      <c r="C697" s="282"/>
      <c r="E697" s="281"/>
      <c r="F697" s="282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280"/>
      <c r="B698" s="281"/>
      <c r="C698" s="282"/>
      <c r="E698" s="281"/>
      <c r="F698" s="282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280"/>
      <c r="B699" s="281"/>
      <c r="C699" s="282"/>
      <c r="E699" s="281"/>
      <c r="F699" s="28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280"/>
      <c r="B700" s="281"/>
      <c r="C700" s="282"/>
      <c r="E700" s="281"/>
      <c r="F700" s="282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280"/>
      <c r="B701" s="281"/>
      <c r="C701" s="282"/>
      <c r="E701" s="281"/>
      <c r="F701" s="282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280"/>
      <c r="B702" s="281"/>
      <c r="C702" s="282"/>
      <c r="E702" s="281"/>
      <c r="F702" s="28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280"/>
      <c r="B703" s="281"/>
      <c r="C703" s="282"/>
      <c r="E703" s="281"/>
      <c r="F703" s="282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280"/>
      <c r="B704" s="281"/>
      <c r="C704" s="282"/>
      <c r="E704" s="281"/>
      <c r="F704" s="282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280"/>
      <c r="B705" s="281"/>
      <c r="C705" s="282"/>
      <c r="E705" s="281"/>
      <c r="F705" s="28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280"/>
      <c r="B706" s="281"/>
      <c r="C706" s="282"/>
      <c r="E706" s="281"/>
      <c r="F706" s="282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280"/>
      <c r="B707" s="281"/>
      <c r="C707" s="282"/>
      <c r="E707" s="281"/>
      <c r="F707" s="282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280"/>
      <c r="B708" s="281"/>
      <c r="C708" s="282"/>
      <c r="E708" s="281"/>
      <c r="F708" s="28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280"/>
      <c r="B709" s="281"/>
      <c r="C709" s="282"/>
      <c r="E709" s="281"/>
      <c r="F709" s="282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280"/>
      <c r="B710" s="281"/>
      <c r="C710" s="282"/>
      <c r="E710" s="281"/>
      <c r="F710" s="282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280"/>
      <c r="B711" s="281"/>
      <c r="C711" s="282"/>
      <c r="E711" s="281"/>
      <c r="F711" s="28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280"/>
      <c r="B712" s="281"/>
      <c r="C712" s="282"/>
      <c r="E712" s="281"/>
      <c r="F712" s="282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280"/>
      <c r="B713" s="281"/>
      <c r="C713" s="282"/>
      <c r="E713" s="281"/>
      <c r="F713" s="282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280"/>
      <c r="B714" s="281"/>
      <c r="C714" s="282"/>
      <c r="E714" s="281"/>
      <c r="F714" s="28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280"/>
      <c r="B715" s="281"/>
      <c r="C715" s="282"/>
      <c r="E715" s="281"/>
      <c r="F715" s="282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280"/>
      <c r="B716" s="281"/>
      <c r="C716" s="282"/>
      <c r="E716" s="281"/>
      <c r="F716" s="282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280"/>
      <c r="B717" s="281"/>
      <c r="C717" s="282"/>
      <c r="E717" s="281"/>
      <c r="F717" s="28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280"/>
      <c r="B718" s="281"/>
      <c r="C718" s="282"/>
      <c r="E718" s="281"/>
      <c r="F718" s="282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280"/>
      <c r="B719" s="281"/>
      <c r="C719" s="282"/>
      <c r="E719" s="281"/>
      <c r="F719" s="282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280"/>
      <c r="B720" s="281"/>
      <c r="C720" s="282"/>
      <c r="E720" s="281"/>
      <c r="F720" s="28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280"/>
      <c r="B721" s="281"/>
      <c r="C721" s="282"/>
      <c r="E721" s="281"/>
      <c r="F721" s="282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280"/>
      <c r="B722" s="281"/>
      <c r="C722" s="282"/>
      <c r="E722" s="281"/>
      <c r="F722" s="282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280"/>
      <c r="B723" s="281"/>
      <c r="C723" s="282"/>
      <c r="E723" s="281"/>
      <c r="F723" s="28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280"/>
      <c r="B724" s="281"/>
      <c r="C724" s="282"/>
      <c r="E724" s="281"/>
      <c r="F724" s="282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280"/>
      <c r="B725" s="281"/>
      <c r="C725" s="282"/>
      <c r="E725" s="281"/>
      <c r="F725" s="282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280"/>
      <c r="B726" s="281"/>
      <c r="C726" s="282"/>
      <c r="E726" s="281"/>
      <c r="F726" s="28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280"/>
      <c r="B727" s="281"/>
      <c r="C727" s="282"/>
      <c r="E727" s="281"/>
      <c r="F727" s="282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280"/>
      <c r="B728" s="281"/>
      <c r="C728" s="282"/>
      <c r="E728" s="281"/>
      <c r="F728" s="282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280"/>
      <c r="B729" s="281"/>
      <c r="C729" s="282"/>
      <c r="E729" s="281"/>
      <c r="F729" s="28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280"/>
      <c r="B730" s="281"/>
      <c r="C730" s="282"/>
      <c r="E730" s="281"/>
      <c r="F730" s="282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280"/>
      <c r="B731" s="281"/>
      <c r="C731" s="282"/>
      <c r="E731" s="281"/>
      <c r="F731" s="282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280"/>
      <c r="B732" s="281"/>
      <c r="C732" s="282"/>
      <c r="E732" s="281"/>
      <c r="F732" s="28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280"/>
      <c r="B733" s="281"/>
      <c r="C733" s="282"/>
      <c r="E733" s="281"/>
      <c r="F733" s="282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280"/>
      <c r="B734" s="281"/>
      <c r="C734" s="282"/>
      <c r="E734" s="281"/>
      <c r="F734" s="282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280"/>
      <c r="B735" s="281"/>
      <c r="C735" s="282"/>
      <c r="E735" s="281"/>
      <c r="F735" s="28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280"/>
      <c r="B736" s="281"/>
      <c r="C736" s="282"/>
      <c r="E736" s="281"/>
      <c r="F736" s="282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280"/>
      <c r="B737" s="281"/>
      <c r="C737" s="282"/>
      <c r="E737" s="281"/>
      <c r="F737" s="282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280"/>
      <c r="B738" s="281"/>
      <c r="C738" s="282"/>
      <c r="E738" s="281"/>
      <c r="F738" s="28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280"/>
      <c r="B739" s="281"/>
      <c r="C739" s="282"/>
      <c r="E739" s="281"/>
      <c r="F739" s="282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280"/>
      <c r="B740" s="281"/>
      <c r="C740" s="282"/>
      <c r="E740" s="281"/>
      <c r="F740" s="282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280"/>
      <c r="B741" s="281"/>
      <c r="C741" s="282"/>
      <c r="E741" s="281"/>
      <c r="F741" s="28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280"/>
      <c r="B742" s="281"/>
      <c r="C742" s="282"/>
      <c r="E742" s="281"/>
      <c r="F742" s="282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280"/>
      <c r="B743" s="281"/>
      <c r="C743" s="282"/>
      <c r="E743" s="281"/>
      <c r="F743" s="282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280"/>
      <c r="B744" s="281"/>
      <c r="C744" s="282"/>
      <c r="E744" s="281"/>
      <c r="F744" s="28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280"/>
      <c r="B745" s="281"/>
      <c r="C745" s="282"/>
      <c r="E745" s="281"/>
      <c r="F745" s="282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280"/>
      <c r="B746" s="281"/>
      <c r="C746" s="282"/>
      <c r="E746" s="281"/>
      <c r="F746" s="282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280"/>
      <c r="B747" s="281"/>
      <c r="C747" s="282"/>
      <c r="E747" s="281"/>
      <c r="F747" s="28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280"/>
      <c r="B748" s="281"/>
      <c r="C748" s="282"/>
      <c r="E748" s="281"/>
      <c r="F748" s="282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280"/>
      <c r="B749" s="281"/>
      <c r="C749" s="282"/>
      <c r="E749" s="281"/>
      <c r="F749" s="282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280"/>
      <c r="B750" s="281"/>
      <c r="C750" s="282"/>
      <c r="E750" s="281"/>
      <c r="F750" s="28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280"/>
      <c r="B751" s="281"/>
      <c r="C751" s="282"/>
      <c r="E751" s="281"/>
      <c r="F751" s="282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280"/>
      <c r="B752" s="281"/>
      <c r="C752" s="282"/>
      <c r="E752" s="281"/>
      <c r="F752" s="282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280"/>
      <c r="B753" s="281"/>
      <c r="C753" s="282"/>
      <c r="E753" s="281"/>
      <c r="F753" s="28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280"/>
      <c r="B754" s="281"/>
      <c r="C754" s="282"/>
      <c r="E754" s="281"/>
      <c r="F754" s="282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280"/>
      <c r="B755" s="281"/>
      <c r="C755" s="282"/>
      <c r="E755" s="281"/>
      <c r="F755" s="282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280"/>
      <c r="B756" s="281"/>
      <c r="C756" s="282"/>
      <c r="E756" s="281"/>
      <c r="F756" s="28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280"/>
      <c r="B757" s="281"/>
      <c r="C757" s="282"/>
      <c r="E757" s="281"/>
      <c r="F757" s="282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280"/>
      <c r="B758" s="281"/>
      <c r="C758" s="282"/>
      <c r="E758" s="281"/>
      <c r="F758" s="282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280"/>
      <c r="B759" s="281"/>
      <c r="C759" s="282"/>
      <c r="E759" s="281"/>
      <c r="F759" s="28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280"/>
      <c r="B760" s="281"/>
      <c r="C760" s="282"/>
      <c r="E760" s="281"/>
      <c r="F760" s="282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280"/>
      <c r="B761" s="281"/>
      <c r="C761" s="282"/>
      <c r="E761" s="281"/>
      <c r="F761" s="282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280"/>
      <c r="B762" s="281"/>
      <c r="C762" s="282"/>
      <c r="E762" s="281"/>
      <c r="F762" s="28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280"/>
      <c r="B763" s="281"/>
      <c r="C763" s="282"/>
      <c r="E763" s="281"/>
      <c r="F763" s="282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280"/>
      <c r="B764" s="281"/>
      <c r="C764" s="282"/>
      <c r="E764" s="281"/>
      <c r="F764" s="282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280"/>
      <c r="B765" s="281"/>
      <c r="C765" s="282"/>
      <c r="E765" s="281"/>
      <c r="F765" s="28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280"/>
      <c r="B766" s="281"/>
      <c r="C766" s="282"/>
      <c r="E766" s="281"/>
      <c r="F766" s="282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280"/>
      <c r="B767" s="281"/>
      <c r="C767" s="282"/>
      <c r="E767" s="281"/>
      <c r="F767" s="282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280"/>
      <c r="B768" s="281"/>
      <c r="C768" s="282"/>
      <c r="E768" s="281"/>
      <c r="F768" s="28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280"/>
      <c r="B769" s="281"/>
      <c r="C769" s="282"/>
      <c r="E769" s="281"/>
      <c r="F769" s="282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280"/>
      <c r="B770" s="281"/>
      <c r="C770" s="282"/>
      <c r="E770" s="281"/>
      <c r="F770" s="282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280"/>
      <c r="B771" s="281"/>
      <c r="C771" s="282"/>
      <c r="E771" s="281"/>
      <c r="F771" s="28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280"/>
      <c r="B772" s="281"/>
      <c r="C772" s="282"/>
      <c r="E772" s="281"/>
      <c r="F772" s="282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280"/>
      <c r="B773" s="281"/>
      <c r="C773" s="282"/>
      <c r="E773" s="281"/>
      <c r="F773" s="282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280"/>
      <c r="B774" s="281"/>
      <c r="C774" s="282"/>
      <c r="E774" s="281"/>
      <c r="F774" s="28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280"/>
      <c r="B775" s="281"/>
      <c r="C775" s="282"/>
      <c r="E775" s="281"/>
      <c r="F775" s="282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280"/>
      <c r="B776" s="281"/>
      <c r="C776" s="282"/>
      <c r="E776" s="281"/>
      <c r="F776" s="282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280"/>
      <c r="B777" s="281"/>
      <c r="C777" s="282"/>
      <c r="E777" s="281"/>
      <c r="F777" s="28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280"/>
      <c r="B778" s="281"/>
      <c r="C778" s="282"/>
      <c r="E778" s="281"/>
      <c r="F778" s="282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280"/>
      <c r="B779" s="281"/>
      <c r="C779" s="282"/>
      <c r="E779" s="281"/>
      <c r="F779" s="282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280"/>
      <c r="B780" s="281"/>
      <c r="C780" s="282"/>
      <c r="E780" s="281"/>
      <c r="F780" s="28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280"/>
      <c r="B781" s="281"/>
      <c r="C781" s="282"/>
      <c r="E781" s="281"/>
      <c r="F781" s="282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280"/>
      <c r="B782" s="281"/>
      <c r="C782" s="282"/>
      <c r="E782" s="281"/>
      <c r="F782" s="282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280"/>
      <c r="B783" s="281"/>
      <c r="C783" s="282"/>
      <c r="E783" s="281"/>
      <c r="F783" s="28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280"/>
      <c r="B784" s="281"/>
      <c r="C784" s="282"/>
      <c r="E784" s="281"/>
      <c r="F784" s="282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280"/>
      <c r="B785" s="281"/>
      <c r="C785" s="282"/>
      <c r="E785" s="281"/>
      <c r="F785" s="282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280"/>
      <c r="B786" s="281"/>
      <c r="C786" s="282"/>
      <c r="E786" s="281"/>
      <c r="F786" s="28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280"/>
      <c r="B787" s="281"/>
      <c r="C787" s="282"/>
      <c r="E787" s="281"/>
      <c r="F787" s="282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280"/>
      <c r="B788" s="281"/>
      <c r="C788" s="282"/>
      <c r="E788" s="281"/>
      <c r="F788" s="282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280"/>
      <c r="B789" s="281"/>
      <c r="C789" s="282"/>
      <c r="E789" s="281"/>
      <c r="F789" s="28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280"/>
      <c r="B790" s="281"/>
      <c r="C790" s="282"/>
      <c r="E790" s="281"/>
      <c r="F790" s="282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280"/>
      <c r="B791" s="281"/>
      <c r="C791" s="282"/>
      <c r="E791" s="281"/>
      <c r="F791" s="282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280"/>
      <c r="B792" s="281"/>
      <c r="C792" s="282"/>
      <c r="E792" s="281"/>
      <c r="F792" s="28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280"/>
      <c r="B793" s="281"/>
      <c r="C793" s="282"/>
      <c r="E793" s="281"/>
      <c r="F793" s="282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280"/>
      <c r="B794" s="281"/>
      <c r="C794" s="282"/>
      <c r="E794" s="281"/>
      <c r="F794" s="282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280"/>
      <c r="B795" s="281"/>
      <c r="C795" s="282"/>
      <c r="E795" s="281"/>
      <c r="F795" s="28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280"/>
      <c r="B796" s="281"/>
      <c r="C796" s="282"/>
      <c r="E796" s="281"/>
      <c r="F796" s="282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280"/>
      <c r="B797" s="281"/>
      <c r="C797" s="282"/>
      <c r="E797" s="281"/>
      <c r="F797" s="282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280"/>
      <c r="B798" s="281"/>
      <c r="C798" s="282"/>
      <c r="E798" s="281"/>
      <c r="F798" s="28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280"/>
      <c r="B799" s="281"/>
      <c r="C799" s="282"/>
      <c r="E799" s="281"/>
      <c r="F799" s="282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280"/>
      <c r="B800" s="281"/>
      <c r="C800" s="282"/>
      <c r="E800" s="281"/>
      <c r="F800" s="282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280"/>
      <c r="B801" s="281"/>
      <c r="C801" s="282"/>
      <c r="E801" s="281"/>
      <c r="F801" s="28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280"/>
      <c r="B802" s="281"/>
      <c r="C802" s="282"/>
      <c r="E802" s="281"/>
      <c r="F802" s="282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280"/>
      <c r="B803" s="281"/>
      <c r="C803" s="282"/>
      <c r="E803" s="281"/>
      <c r="F803" s="282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280"/>
      <c r="B804" s="281"/>
      <c r="C804" s="282"/>
      <c r="E804" s="281"/>
      <c r="F804" s="28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280"/>
      <c r="B805" s="281"/>
      <c r="C805" s="282"/>
      <c r="E805" s="281"/>
      <c r="F805" s="282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280"/>
      <c r="B806" s="281"/>
      <c r="C806" s="282"/>
      <c r="E806" s="281"/>
      <c r="F806" s="282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280"/>
      <c r="B807" s="281"/>
      <c r="C807" s="282"/>
      <c r="E807" s="281"/>
      <c r="F807" s="28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280"/>
      <c r="B808" s="281"/>
      <c r="C808" s="282"/>
      <c r="E808" s="281"/>
      <c r="F808" s="282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280"/>
      <c r="B809" s="281"/>
      <c r="C809" s="282"/>
      <c r="E809" s="281"/>
      <c r="F809" s="282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280"/>
      <c r="B810" s="281"/>
      <c r="C810" s="282"/>
      <c r="E810" s="281"/>
      <c r="F810" s="28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280"/>
      <c r="B811" s="281"/>
      <c r="C811" s="282"/>
      <c r="E811" s="281"/>
      <c r="F811" s="282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280"/>
      <c r="B812" s="281"/>
      <c r="C812" s="282"/>
      <c r="E812" s="281"/>
      <c r="F812" s="282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280"/>
      <c r="B813" s="281"/>
      <c r="C813" s="282"/>
      <c r="E813" s="281"/>
      <c r="F813" s="28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280"/>
      <c r="B814" s="281"/>
      <c r="C814" s="282"/>
      <c r="E814" s="281"/>
      <c r="F814" s="282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280"/>
      <c r="B815" s="281"/>
      <c r="C815" s="282"/>
      <c r="E815" s="281"/>
      <c r="F815" s="282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280"/>
      <c r="B816" s="281"/>
      <c r="C816" s="282"/>
      <c r="E816" s="281"/>
      <c r="F816" s="28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280"/>
      <c r="B817" s="281"/>
      <c r="C817" s="282"/>
      <c r="E817" s="281"/>
      <c r="F817" s="282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280"/>
      <c r="B818" s="281"/>
      <c r="C818" s="282"/>
      <c r="E818" s="281"/>
      <c r="F818" s="282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280"/>
      <c r="B819" s="281"/>
      <c r="C819" s="282"/>
      <c r="E819" s="281"/>
      <c r="F819" s="28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280"/>
      <c r="B820" s="281"/>
      <c r="C820" s="282"/>
      <c r="E820" s="281"/>
      <c r="F820" s="282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280"/>
      <c r="B821" s="281"/>
      <c r="C821" s="282"/>
      <c r="E821" s="281"/>
      <c r="F821" s="282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280"/>
      <c r="B822" s="281"/>
      <c r="C822" s="282"/>
      <c r="E822" s="281"/>
      <c r="F822" s="28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280"/>
      <c r="B823" s="281"/>
      <c r="C823" s="282"/>
      <c r="E823" s="281"/>
      <c r="F823" s="282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280"/>
      <c r="B824" s="281"/>
      <c r="C824" s="282"/>
      <c r="E824" s="281"/>
      <c r="F824" s="282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280"/>
      <c r="B825" s="281"/>
      <c r="C825" s="282"/>
      <c r="E825" s="281"/>
      <c r="F825" s="28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280"/>
      <c r="B826" s="281"/>
      <c r="C826" s="282"/>
      <c r="E826" s="281"/>
      <c r="F826" s="282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280"/>
      <c r="B827" s="281"/>
      <c r="C827" s="282"/>
      <c r="E827" s="281"/>
      <c r="F827" s="282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280"/>
      <c r="B828" s="281"/>
      <c r="C828" s="282"/>
      <c r="E828" s="281"/>
      <c r="F828" s="28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280"/>
      <c r="B829" s="281"/>
      <c r="C829" s="282"/>
      <c r="E829" s="281"/>
      <c r="F829" s="282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280"/>
      <c r="B830" s="281"/>
      <c r="C830" s="282"/>
      <c r="E830" s="281"/>
      <c r="F830" s="282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280"/>
      <c r="B831" s="281"/>
      <c r="C831" s="282"/>
      <c r="E831" s="281"/>
      <c r="F831" s="28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280"/>
      <c r="B832" s="281"/>
      <c r="C832" s="282"/>
      <c r="E832" s="281"/>
      <c r="F832" s="282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280"/>
      <c r="B833" s="281"/>
      <c r="C833" s="282"/>
      <c r="E833" s="281"/>
      <c r="F833" s="282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280"/>
      <c r="B834" s="281"/>
      <c r="C834" s="282"/>
      <c r="E834" s="281"/>
      <c r="F834" s="28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280"/>
      <c r="B835" s="281"/>
      <c r="C835" s="282"/>
      <c r="E835" s="281"/>
      <c r="F835" s="282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280"/>
      <c r="B836" s="281"/>
      <c r="C836" s="282"/>
      <c r="E836" s="281"/>
      <c r="F836" s="282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280"/>
      <c r="B837" s="281"/>
      <c r="C837" s="282"/>
      <c r="E837" s="281"/>
      <c r="F837" s="28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280"/>
      <c r="B838" s="281"/>
      <c r="C838" s="282"/>
      <c r="E838" s="281"/>
      <c r="F838" s="282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280"/>
      <c r="B839" s="281"/>
      <c r="C839" s="282"/>
      <c r="E839" s="281"/>
      <c r="F839" s="282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280"/>
      <c r="B840" s="281"/>
      <c r="C840" s="282"/>
      <c r="E840" s="281"/>
      <c r="F840" s="28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280"/>
      <c r="B841" s="281"/>
      <c r="C841" s="282"/>
      <c r="E841" s="281"/>
      <c r="F841" s="282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280"/>
      <c r="B842" s="281"/>
      <c r="C842" s="282"/>
      <c r="E842" s="281"/>
      <c r="F842" s="282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280"/>
      <c r="B843" s="281"/>
      <c r="C843" s="282"/>
      <c r="E843" s="281"/>
      <c r="F843" s="28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280"/>
      <c r="B844" s="281"/>
      <c r="C844" s="282"/>
      <c r="E844" s="281"/>
      <c r="F844" s="282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280"/>
      <c r="B845" s="281"/>
      <c r="C845" s="282"/>
      <c r="E845" s="281"/>
      <c r="F845" s="282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280"/>
      <c r="B846" s="281"/>
      <c r="C846" s="282"/>
      <c r="E846" s="281"/>
      <c r="F846" s="28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280"/>
      <c r="B847" s="281"/>
      <c r="C847" s="282"/>
      <c r="E847" s="281"/>
      <c r="F847" s="282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280"/>
      <c r="B848" s="281"/>
      <c r="C848" s="282"/>
      <c r="E848" s="281"/>
      <c r="F848" s="282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280"/>
      <c r="B849" s="281"/>
      <c r="C849" s="282"/>
      <c r="E849" s="281"/>
      <c r="F849" s="28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280"/>
      <c r="B850" s="281"/>
      <c r="C850" s="282"/>
      <c r="E850" s="281"/>
      <c r="F850" s="282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280"/>
      <c r="B851" s="281"/>
      <c r="C851" s="282"/>
      <c r="E851" s="281"/>
      <c r="F851" s="282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280"/>
      <c r="B852" s="281"/>
      <c r="C852" s="282"/>
      <c r="E852" s="281"/>
      <c r="F852" s="28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280"/>
      <c r="B853" s="281"/>
      <c r="C853" s="282"/>
      <c r="E853" s="281"/>
      <c r="F853" s="282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280"/>
      <c r="B854" s="281"/>
      <c r="C854" s="282"/>
      <c r="E854" s="281"/>
      <c r="F854" s="282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280"/>
      <c r="B855" s="281"/>
      <c r="C855" s="282"/>
      <c r="E855" s="281"/>
      <c r="F855" s="28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280"/>
      <c r="B856" s="281"/>
      <c r="C856" s="282"/>
      <c r="E856" s="281"/>
      <c r="F856" s="282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280"/>
      <c r="B857" s="281"/>
      <c r="C857" s="282"/>
      <c r="E857" s="281"/>
      <c r="F857" s="282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280"/>
      <c r="B858" s="281"/>
      <c r="C858" s="282"/>
      <c r="E858" s="281"/>
      <c r="F858" s="28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280"/>
      <c r="B859" s="281"/>
      <c r="C859" s="282"/>
      <c r="E859" s="281"/>
      <c r="F859" s="282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280"/>
      <c r="B860" s="281"/>
      <c r="C860" s="282"/>
      <c r="E860" s="281"/>
      <c r="F860" s="282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280"/>
      <c r="B861" s="281"/>
      <c r="C861" s="282"/>
      <c r="E861" s="281"/>
      <c r="F861" s="28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280"/>
      <c r="B862" s="281"/>
      <c r="C862" s="282"/>
      <c r="E862" s="281"/>
      <c r="F862" s="282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280"/>
      <c r="B863" s="281"/>
      <c r="C863" s="282"/>
      <c r="E863" s="281"/>
      <c r="F863" s="282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280"/>
      <c r="B864" s="281"/>
      <c r="C864" s="282"/>
      <c r="E864" s="281"/>
      <c r="F864" s="28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280"/>
      <c r="B865" s="281"/>
      <c r="C865" s="282"/>
      <c r="E865" s="281"/>
      <c r="F865" s="282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280"/>
      <c r="B866" s="281"/>
      <c r="C866" s="282"/>
      <c r="E866" s="281"/>
      <c r="F866" s="282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280"/>
      <c r="B867" s="281"/>
      <c r="C867" s="282"/>
      <c r="E867" s="281"/>
      <c r="F867" s="28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280"/>
      <c r="B868" s="281"/>
      <c r="C868" s="282"/>
      <c r="E868" s="281"/>
      <c r="F868" s="282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280"/>
      <c r="B869" s="281"/>
      <c r="C869" s="282"/>
      <c r="E869" s="281"/>
      <c r="F869" s="282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280"/>
      <c r="B870" s="281"/>
      <c r="C870" s="282"/>
      <c r="E870" s="281"/>
      <c r="F870" s="28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280"/>
      <c r="B871" s="281"/>
      <c r="C871" s="282"/>
      <c r="E871" s="281"/>
      <c r="F871" s="282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280"/>
      <c r="B872" s="281"/>
      <c r="C872" s="282"/>
      <c r="E872" s="281"/>
      <c r="F872" s="282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280"/>
      <c r="B873" s="281"/>
      <c r="C873" s="282"/>
      <c r="E873" s="281"/>
      <c r="F873" s="28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280"/>
      <c r="B874" s="281"/>
      <c r="C874" s="282"/>
      <c r="E874" s="281"/>
      <c r="F874" s="282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280"/>
      <c r="B875" s="281"/>
      <c r="C875" s="282"/>
      <c r="E875" s="281"/>
      <c r="F875" s="282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280"/>
      <c r="B876" s="281"/>
      <c r="C876" s="282"/>
      <c r="E876" s="281"/>
      <c r="F876" s="28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280"/>
      <c r="B877" s="281"/>
      <c r="C877" s="282"/>
      <c r="E877" s="281"/>
      <c r="F877" s="282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280"/>
      <c r="B878" s="281"/>
      <c r="C878" s="282"/>
      <c r="E878" s="281"/>
      <c r="F878" s="282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280"/>
      <c r="B879" s="281"/>
      <c r="C879" s="282"/>
      <c r="E879" s="281"/>
      <c r="F879" s="28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280"/>
      <c r="B880" s="281"/>
      <c r="C880" s="282"/>
      <c r="E880" s="281"/>
      <c r="F880" s="282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280"/>
      <c r="B881" s="281"/>
      <c r="C881" s="282"/>
      <c r="E881" s="281"/>
      <c r="F881" s="282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280"/>
      <c r="B882" s="281"/>
      <c r="C882" s="282"/>
      <c r="E882" s="281"/>
      <c r="F882" s="28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280"/>
      <c r="B883" s="281"/>
      <c r="C883" s="282"/>
      <c r="E883" s="281"/>
      <c r="F883" s="282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280"/>
      <c r="B884" s="281"/>
      <c r="C884" s="282"/>
      <c r="E884" s="281"/>
      <c r="F884" s="282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280"/>
      <c r="B885" s="281"/>
      <c r="C885" s="282"/>
      <c r="E885" s="281"/>
      <c r="F885" s="28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280"/>
      <c r="B886" s="281"/>
      <c r="C886" s="282"/>
      <c r="E886" s="281"/>
      <c r="F886" s="282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280"/>
      <c r="B887" s="281"/>
      <c r="C887" s="282"/>
      <c r="E887" s="281"/>
      <c r="F887" s="282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280"/>
      <c r="B888" s="281"/>
      <c r="C888" s="282"/>
      <c r="E888" s="281"/>
      <c r="F888" s="28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280"/>
      <c r="B889" s="281"/>
      <c r="C889" s="282"/>
      <c r="E889" s="281"/>
      <c r="F889" s="282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280"/>
      <c r="B890" s="281"/>
      <c r="C890" s="282"/>
      <c r="E890" s="281"/>
      <c r="F890" s="282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280"/>
      <c r="B891" s="281"/>
      <c r="C891" s="282"/>
      <c r="E891" s="281"/>
      <c r="F891" s="28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280"/>
      <c r="B892" s="281"/>
      <c r="C892" s="282"/>
      <c r="E892" s="281"/>
      <c r="F892" s="282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280"/>
      <c r="B893" s="281"/>
      <c r="C893" s="282"/>
      <c r="E893" s="281"/>
      <c r="F893" s="282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280"/>
      <c r="B894" s="281"/>
      <c r="C894" s="282"/>
      <c r="E894" s="281"/>
      <c r="F894" s="28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280"/>
      <c r="B895" s="281"/>
      <c r="C895" s="282"/>
      <c r="E895" s="281"/>
      <c r="F895" s="282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280"/>
      <c r="B896" s="281"/>
      <c r="C896" s="282"/>
      <c r="E896" s="281"/>
      <c r="F896" s="282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280"/>
      <c r="B897" s="281"/>
      <c r="C897" s="282"/>
      <c r="E897" s="281"/>
      <c r="F897" s="28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280"/>
      <c r="B898" s="281"/>
      <c r="C898" s="282"/>
      <c r="E898" s="281"/>
      <c r="F898" s="282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280"/>
      <c r="B899" s="281"/>
      <c r="C899" s="282"/>
      <c r="E899" s="281"/>
      <c r="F899" s="282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280"/>
      <c r="B900" s="281"/>
      <c r="C900" s="282"/>
      <c r="E900" s="281"/>
      <c r="F900" s="28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280"/>
      <c r="B901" s="281"/>
      <c r="C901" s="282"/>
      <c r="E901" s="281"/>
      <c r="F901" s="282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280"/>
      <c r="B902" s="281"/>
      <c r="C902" s="282"/>
      <c r="E902" s="281"/>
      <c r="F902" s="282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280"/>
      <c r="B903" s="281"/>
      <c r="C903" s="282"/>
      <c r="E903" s="281"/>
      <c r="F903" s="282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280"/>
      <c r="B904" s="281"/>
      <c r="C904" s="282"/>
      <c r="E904" s="281"/>
      <c r="F904" s="282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280"/>
      <c r="B905" s="281"/>
      <c r="C905" s="282"/>
      <c r="E905" s="281"/>
      <c r="F905" s="282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280"/>
      <c r="B906" s="281"/>
      <c r="C906" s="282"/>
      <c r="E906" s="281"/>
      <c r="F906" s="282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280"/>
      <c r="B907" s="281"/>
      <c r="C907" s="282"/>
      <c r="E907" s="281"/>
      <c r="F907" s="282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280"/>
      <c r="B908" s="281"/>
      <c r="C908" s="282"/>
      <c r="E908" s="281"/>
      <c r="F908" s="282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280"/>
      <c r="B909" s="281"/>
      <c r="C909" s="282"/>
      <c r="E909" s="281"/>
      <c r="F909" s="282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280"/>
      <c r="B910" s="281"/>
      <c r="C910" s="282"/>
      <c r="E910" s="281"/>
      <c r="F910" s="282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280"/>
      <c r="B911" s="281"/>
      <c r="C911" s="282"/>
      <c r="E911" s="281"/>
      <c r="F911" s="282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280"/>
      <c r="B912" s="281"/>
      <c r="C912" s="282"/>
      <c r="E912" s="281"/>
      <c r="F912" s="282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280"/>
      <c r="B913" s="281"/>
      <c r="C913" s="282"/>
      <c r="E913" s="281"/>
      <c r="F913" s="282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280"/>
      <c r="B914" s="281"/>
      <c r="C914" s="282"/>
      <c r="E914" s="281"/>
      <c r="F914" s="282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280"/>
      <c r="B915" s="281"/>
      <c r="C915" s="282"/>
      <c r="E915" s="281"/>
      <c r="F915" s="282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280"/>
      <c r="B916" s="281"/>
      <c r="C916" s="282"/>
      <c r="E916" s="281"/>
      <c r="F916" s="282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280"/>
      <c r="B917" s="281"/>
      <c r="C917" s="282"/>
      <c r="E917" s="281"/>
      <c r="F917" s="282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280"/>
      <c r="B918" s="281"/>
      <c r="C918" s="282"/>
      <c r="E918" s="281"/>
      <c r="F918" s="282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280"/>
      <c r="B919" s="281"/>
      <c r="C919" s="282"/>
      <c r="E919" s="281"/>
      <c r="F919" s="282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280"/>
      <c r="B920" s="281"/>
      <c r="C920" s="282"/>
      <c r="E920" s="281"/>
      <c r="F920" s="282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280"/>
      <c r="B921" s="281"/>
      <c r="C921" s="282"/>
      <c r="E921" s="281"/>
      <c r="F921" s="282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280"/>
      <c r="B922" s="281"/>
      <c r="C922" s="282"/>
      <c r="E922" s="281"/>
      <c r="F922" s="282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280"/>
      <c r="B923" s="281"/>
      <c r="C923" s="282"/>
      <c r="E923" s="281"/>
      <c r="F923" s="282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280"/>
      <c r="B924" s="281"/>
      <c r="C924" s="282"/>
      <c r="E924" s="281"/>
      <c r="F924" s="282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280"/>
      <c r="B925" s="281"/>
      <c r="C925" s="282"/>
      <c r="E925" s="281"/>
      <c r="F925" s="282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280"/>
      <c r="B926" s="281"/>
      <c r="C926" s="282"/>
      <c r="E926" s="281"/>
      <c r="F926" s="282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280"/>
      <c r="B927" s="281"/>
      <c r="C927" s="282"/>
      <c r="E927" s="281"/>
      <c r="F927" s="282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280"/>
      <c r="B928" s="281"/>
      <c r="C928" s="282"/>
      <c r="E928" s="281"/>
      <c r="F928" s="282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280"/>
      <c r="B929" s="281"/>
      <c r="C929" s="282"/>
      <c r="E929" s="281"/>
      <c r="F929" s="282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280"/>
      <c r="B930" s="281"/>
      <c r="C930" s="282"/>
      <c r="E930" s="281"/>
      <c r="F930" s="282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280"/>
      <c r="B931" s="281"/>
      <c r="C931" s="282"/>
      <c r="E931" s="281"/>
      <c r="F931" s="282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280"/>
      <c r="B932" s="281"/>
      <c r="C932" s="282"/>
      <c r="E932" s="281"/>
      <c r="F932" s="282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280"/>
      <c r="B933" s="281"/>
      <c r="C933" s="282"/>
      <c r="E933" s="281"/>
      <c r="F933" s="282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280"/>
      <c r="B934" s="281"/>
      <c r="C934" s="282"/>
      <c r="E934" s="281"/>
      <c r="F934" s="282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280"/>
      <c r="B935" s="281"/>
      <c r="C935" s="282"/>
      <c r="E935" s="281"/>
      <c r="F935" s="282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280"/>
      <c r="B936" s="281"/>
      <c r="C936" s="282"/>
      <c r="E936" s="281"/>
      <c r="F936" s="282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280"/>
      <c r="B937" s="281"/>
      <c r="C937" s="282"/>
      <c r="E937" s="281"/>
      <c r="F937" s="282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280"/>
      <c r="B938" s="281"/>
      <c r="C938" s="282"/>
      <c r="E938" s="281"/>
      <c r="F938" s="282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280"/>
      <c r="B939" s="281"/>
      <c r="C939" s="282"/>
      <c r="E939" s="281"/>
      <c r="F939" s="282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280"/>
      <c r="B940" s="281"/>
      <c r="C940" s="282"/>
      <c r="E940" s="281"/>
      <c r="F940" s="282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280"/>
      <c r="B941" s="281"/>
      <c r="C941" s="282"/>
      <c r="E941" s="281"/>
      <c r="F941" s="282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280"/>
      <c r="B942" s="281"/>
      <c r="C942" s="282"/>
      <c r="E942" s="281"/>
      <c r="F942" s="282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280"/>
      <c r="B943" s="281"/>
      <c r="C943" s="282"/>
      <c r="E943" s="281"/>
      <c r="F943" s="282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280"/>
      <c r="B944" s="281"/>
      <c r="C944" s="282"/>
      <c r="E944" s="281"/>
      <c r="F944" s="282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280"/>
      <c r="B945" s="281"/>
      <c r="C945" s="282"/>
      <c r="E945" s="281"/>
      <c r="F945" s="282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280"/>
      <c r="B946" s="281"/>
      <c r="C946" s="282"/>
      <c r="E946" s="281"/>
      <c r="F946" s="282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280"/>
      <c r="B947" s="281"/>
      <c r="C947" s="282"/>
      <c r="E947" s="281"/>
      <c r="F947" s="282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280"/>
      <c r="B948" s="281"/>
      <c r="C948" s="282"/>
      <c r="E948" s="281"/>
      <c r="F948" s="282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280"/>
      <c r="B949" s="281"/>
      <c r="C949" s="282"/>
      <c r="E949" s="281"/>
      <c r="F949" s="282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280"/>
      <c r="B950" s="281"/>
      <c r="C950" s="282"/>
      <c r="E950" s="281"/>
      <c r="F950" s="282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280"/>
      <c r="B951" s="281"/>
      <c r="C951" s="282"/>
      <c r="E951" s="281"/>
      <c r="F951" s="282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280"/>
      <c r="B952" s="281"/>
      <c r="C952" s="282"/>
      <c r="E952" s="281"/>
      <c r="F952" s="282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280"/>
      <c r="B953" s="281"/>
      <c r="C953" s="282"/>
      <c r="E953" s="281"/>
      <c r="F953" s="282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280"/>
      <c r="B954" s="281"/>
      <c r="C954" s="282"/>
      <c r="E954" s="281"/>
      <c r="F954" s="282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280"/>
      <c r="B955" s="281"/>
      <c r="C955" s="282"/>
      <c r="E955" s="281"/>
      <c r="F955" s="282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280"/>
      <c r="B956" s="281"/>
      <c r="C956" s="282"/>
      <c r="E956" s="281"/>
      <c r="F956" s="282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280"/>
      <c r="B957" s="281"/>
      <c r="C957" s="282"/>
      <c r="E957" s="281"/>
      <c r="F957" s="282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280"/>
      <c r="B958" s="281"/>
      <c r="C958" s="282"/>
      <c r="E958" s="281"/>
      <c r="F958" s="282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280"/>
      <c r="B959" s="281"/>
      <c r="C959" s="282"/>
      <c r="E959" s="281"/>
      <c r="F959" s="282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280"/>
      <c r="B960" s="281"/>
      <c r="C960" s="282"/>
      <c r="E960" s="281"/>
      <c r="F960" s="282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280"/>
      <c r="B961" s="281"/>
      <c r="C961" s="282"/>
      <c r="E961" s="281"/>
      <c r="F961" s="282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280"/>
      <c r="B962" s="281"/>
      <c r="C962" s="282"/>
      <c r="E962" s="281"/>
      <c r="F962" s="282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280"/>
      <c r="B963" s="281"/>
      <c r="C963" s="282"/>
      <c r="E963" s="281"/>
      <c r="F963" s="282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280"/>
      <c r="B964" s="281"/>
      <c r="C964" s="282"/>
      <c r="E964" s="281"/>
      <c r="F964" s="282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280"/>
      <c r="B965" s="281"/>
      <c r="C965" s="282"/>
      <c r="E965" s="281"/>
      <c r="F965" s="282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280"/>
      <c r="B966" s="281"/>
      <c r="C966" s="282"/>
      <c r="E966" s="281"/>
      <c r="F966" s="282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280"/>
      <c r="B967" s="281"/>
      <c r="C967" s="282"/>
      <c r="E967" s="281"/>
      <c r="F967" s="282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280"/>
      <c r="B968" s="281"/>
      <c r="C968" s="282"/>
      <c r="E968" s="281"/>
      <c r="F968" s="282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280"/>
      <c r="B969" s="281"/>
      <c r="C969" s="282"/>
      <c r="E969" s="281"/>
      <c r="F969" s="282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280"/>
      <c r="B970" s="281"/>
      <c r="C970" s="282"/>
      <c r="E970" s="281"/>
      <c r="F970" s="282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280"/>
      <c r="B971" s="281"/>
      <c r="C971" s="282"/>
      <c r="E971" s="281"/>
      <c r="F971" s="282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280"/>
      <c r="B972" s="281"/>
      <c r="C972" s="282"/>
      <c r="E972" s="281"/>
      <c r="F972" s="282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280"/>
      <c r="B973" s="281"/>
      <c r="C973" s="282"/>
      <c r="E973" s="281"/>
      <c r="F973" s="282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280"/>
      <c r="B974" s="281"/>
      <c r="C974" s="282"/>
      <c r="E974" s="281"/>
      <c r="F974" s="282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280"/>
      <c r="B975" s="281"/>
      <c r="C975" s="282"/>
      <c r="E975" s="281"/>
      <c r="F975" s="282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280"/>
      <c r="B976" s="281"/>
      <c r="C976" s="282"/>
      <c r="E976" s="281"/>
      <c r="F976" s="282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280"/>
      <c r="B977" s="281"/>
      <c r="C977" s="282"/>
      <c r="E977" s="281"/>
      <c r="F977" s="282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280"/>
      <c r="B978" s="281"/>
      <c r="C978" s="282"/>
      <c r="E978" s="281"/>
      <c r="F978" s="282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280"/>
      <c r="B979" s="281"/>
      <c r="C979" s="282"/>
      <c r="E979" s="281"/>
      <c r="F979" s="282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280"/>
      <c r="B980" s="281"/>
      <c r="C980" s="282"/>
      <c r="E980" s="281"/>
      <c r="F980" s="282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280"/>
      <c r="B981" s="281"/>
      <c r="C981" s="282"/>
      <c r="E981" s="281"/>
      <c r="F981" s="282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280"/>
      <c r="B982" s="281"/>
      <c r="C982" s="282"/>
      <c r="E982" s="281"/>
      <c r="F982" s="282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280"/>
      <c r="B983" s="281"/>
      <c r="C983" s="282"/>
      <c r="E983" s="281"/>
      <c r="F983" s="282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280"/>
      <c r="B984" s="281"/>
      <c r="C984" s="282"/>
      <c r="E984" s="281"/>
      <c r="F984" s="282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280"/>
      <c r="B985" s="281"/>
      <c r="C985" s="282"/>
      <c r="E985" s="281"/>
      <c r="F985" s="282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280"/>
      <c r="B986" s="281"/>
      <c r="C986" s="282"/>
      <c r="E986" s="281"/>
      <c r="F986" s="282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280"/>
      <c r="B987" s="281"/>
      <c r="C987" s="282"/>
      <c r="E987" s="281"/>
      <c r="F987" s="282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280"/>
      <c r="B988" s="281"/>
      <c r="C988" s="282"/>
      <c r="E988" s="281"/>
      <c r="F988" s="282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280"/>
      <c r="B989" s="281"/>
      <c r="C989" s="282"/>
      <c r="E989" s="281"/>
      <c r="F989" s="282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280"/>
      <c r="B990" s="281"/>
      <c r="C990" s="282"/>
      <c r="E990" s="281"/>
      <c r="F990" s="282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280"/>
      <c r="B991" s="281"/>
      <c r="C991" s="282"/>
      <c r="E991" s="281"/>
      <c r="F991" s="282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280"/>
      <c r="B992" s="281"/>
      <c r="C992" s="282"/>
      <c r="E992" s="281"/>
      <c r="F992" s="282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280"/>
      <c r="B993" s="281"/>
      <c r="C993" s="282"/>
      <c r="E993" s="281"/>
      <c r="F993" s="282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280"/>
      <c r="B994" s="281"/>
      <c r="C994" s="282"/>
      <c r="E994" s="281"/>
      <c r="F994" s="282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280"/>
      <c r="B995" s="281"/>
      <c r="C995" s="282"/>
      <c r="E995" s="281"/>
      <c r="F995" s="282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280"/>
      <c r="B996" s="281"/>
      <c r="C996" s="282"/>
      <c r="E996" s="281"/>
      <c r="F996" s="282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280"/>
      <c r="B997" s="281"/>
      <c r="C997" s="282"/>
      <c r="E997" s="281"/>
      <c r="F997" s="282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280"/>
      <c r="B998" s="281"/>
      <c r="C998" s="282"/>
      <c r="E998" s="281"/>
      <c r="F998" s="282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280"/>
      <c r="B999" s="281"/>
      <c r="C999" s="282"/>
      <c r="E999" s="281"/>
      <c r="F999" s="282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280"/>
      <c r="B1000" s="281"/>
      <c r="C1000" s="282"/>
      <c r="E1000" s="281"/>
      <c r="F1000" s="282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280"/>
      <c r="B1001" s="281"/>
      <c r="C1001" s="282"/>
      <c r="E1001" s="281"/>
      <c r="F1001" s="282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280"/>
      <c r="B1002" s="281"/>
      <c r="C1002" s="282"/>
      <c r="E1002" s="281"/>
      <c r="F1002" s="282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</sheetData>
  <autoFilter ref="$B$5:$G$20"/>
  <mergeCells count="200">
    <mergeCell ref="A1:A3"/>
    <mergeCell ref="F1:G3"/>
    <mergeCell ref="H1:K1"/>
    <mergeCell ref="L1:N1"/>
    <mergeCell ref="O1:Q1"/>
    <mergeCell ref="H2:K2"/>
    <mergeCell ref="O2:Q2"/>
    <mergeCell ref="B1:E3"/>
    <mergeCell ref="B4:D4"/>
    <mergeCell ref="E4:G4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B21:F21"/>
    <mergeCell ref="B22:D22"/>
    <mergeCell ref="E22:G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B38:F38"/>
    <mergeCell ref="B39:D39"/>
    <mergeCell ref="E39:G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B55:F55"/>
    <mergeCell ref="B56:D56"/>
    <mergeCell ref="E56:G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B72:F72"/>
    <mergeCell ref="B73:D73"/>
    <mergeCell ref="E73:G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B89:F89"/>
    <mergeCell ref="B90:D90"/>
    <mergeCell ref="E90:G90"/>
    <mergeCell ref="I91:J91"/>
    <mergeCell ref="I92:J92"/>
    <mergeCell ref="I93:J93"/>
    <mergeCell ref="I94:J94"/>
    <mergeCell ref="I95:J95"/>
    <mergeCell ref="I96:J96"/>
    <mergeCell ref="I97:J97"/>
    <mergeCell ref="I98:J98"/>
    <mergeCell ref="I125:J125"/>
    <mergeCell ref="I126:J126"/>
    <mergeCell ref="I127:J127"/>
    <mergeCell ref="I128:J128"/>
    <mergeCell ref="I129:J129"/>
    <mergeCell ref="I130:J130"/>
    <mergeCell ref="I131:J131"/>
    <mergeCell ref="I147:J147"/>
    <mergeCell ref="I148:J148"/>
    <mergeCell ref="I149:J149"/>
    <mergeCell ref="I150:J150"/>
    <mergeCell ref="I151:J151"/>
    <mergeCell ref="I152:J152"/>
    <mergeCell ref="I153:J153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B174:F174"/>
    <mergeCell ref="B175:D175"/>
    <mergeCell ref="E175:G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B191:F191"/>
    <mergeCell ref="B192:D192"/>
    <mergeCell ref="I199:J199"/>
    <mergeCell ref="I200:J200"/>
    <mergeCell ref="I201:J201"/>
    <mergeCell ref="I202:J202"/>
    <mergeCell ref="I203:J203"/>
    <mergeCell ref="I204:J204"/>
    <mergeCell ref="I205:J205"/>
    <mergeCell ref="B208:F208"/>
    <mergeCell ref="E192:G192"/>
    <mergeCell ref="I193:J193"/>
    <mergeCell ref="I194:J194"/>
    <mergeCell ref="I195:J195"/>
    <mergeCell ref="I196:J196"/>
    <mergeCell ref="I197:J197"/>
    <mergeCell ref="I198:J198"/>
    <mergeCell ref="I99:J99"/>
    <mergeCell ref="I100:J100"/>
    <mergeCell ref="I101:J101"/>
    <mergeCell ref="I102:J102"/>
    <mergeCell ref="I103:J103"/>
    <mergeCell ref="B106:F106"/>
    <mergeCell ref="B107:D107"/>
    <mergeCell ref="E107:G107"/>
    <mergeCell ref="I108:J108"/>
    <mergeCell ref="I109:J109"/>
    <mergeCell ref="I110:J110"/>
    <mergeCell ref="I111:J111"/>
    <mergeCell ref="I112:J112"/>
    <mergeCell ref="I113:J113"/>
    <mergeCell ref="B123:F123"/>
    <mergeCell ref="B124:D124"/>
    <mergeCell ref="E124:G124"/>
    <mergeCell ref="I114:J114"/>
    <mergeCell ref="I115:J115"/>
    <mergeCell ref="I116:J116"/>
    <mergeCell ref="I117:J117"/>
    <mergeCell ref="I118:J118"/>
    <mergeCell ref="I119:J119"/>
    <mergeCell ref="I120:J120"/>
    <mergeCell ref="I132:J132"/>
    <mergeCell ref="I133:J133"/>
    <mergeCell ref="I134:J134"/>
    <mergeCell ref="I135:J135"/>
    <mergeCell ref="I136:J136"/>
    <mergeCell ref="I137:J137"/>
    <mergeCell ref="B140:F140"/>
    <mergeCell ref="B141:D141"/>
    <mergeCell ref="E141:G141"/>
    <mergeCell ref="I142:J142"/>
    <mergeCell ref="I143:J143"/>
    <mergeCell ref="I144:J144"/>
    <mergeCell ref="I145:J145"/>
    <mergeCell ref="I146:J146"/>
    <mergeCell ref="I154:J154"/>
    <mergeCell ref="B157:F157"/>
    <mergeCell ref="B158:D158"/>
    <mergeCell ref="E158:G158"/>
    <mergeCell ref="I159:J159"/>
    <mergeCell ref="I160:J160"/>
    <mergeCell ref="I161:J161"/>
  </mergeCells>
  <conditionalFormatting sqref="B125:D125">
    <cfRule type="expression" dxfId="2" priority="1">
      <formula>ODD(ROW())=ROW()</formula>
    </cfRule>
  </conditionalFormatting>
  <conditionalFormatting sqref="B125 C125 D125">
    <cfRule type="colorScale" priority="2">
      <colorScale>
        <cfvo type="min"/>
        <cfvo type="max"/>
        <color rgb="FFFF7128"/>
        <color rgb="FFFFEF9C"/>
      </colorScale>
    </cfRule>
  </conditionalFormatting>
  <conditionalFormatting sqref="B21 G21">
    <cfRule type="expression" dxfId="3" priority="3">
      <formula>ODD(ROW())=(ROW())</formula>
    </cfRule>
  </conditionalFormatting>
  <conditionalFormatting sqref="B21 G21">
    <cfRule type="expression" dxfId="4" priority="4">
      <formula>EVEN(ROW())=(ROW())</formula>
    </cfRule>
  </conditionalFormatting>
  <conditionalFormatting sqref="B55 G55">
    <cfRule type="expression" dxfId="3" priority="5">
      <formula>ODD(ROW())=(ROW())</formula>
    </cfRule>
  </conditionalFormatting>
  <conditionalFormatting sqref="B55 G55">
    <cfRule type="expression" dxfId="4" priority="6">
      <formula>EVEN(ROW())=(ROW())</formula>
    </cfRule>
  </conditionalFormatting>
  <conditionalFormatting sqref="B72 G72">
    <cfRule type="expression" dxfId="3" priority="7">
      <formula>ODD(ROW())=(ROW())</formula>
    </cfRule>
  </conditionalFormatting>
  <conditionalFormatting sqref="B72 G72">
    <cfRule type="expression" dxfId="4" priority="8">
      <formula>EVEN(ROW())=(ROW())</formula>
    </cfRule>
  </conditionalFormatting>
  <conditionalFormatting sqref="B89 G89">
    <cfRule type="expression" dxfId="3" priority="9">
      <formula>ODD(ROW())=(ROW())</formula>
    </cfRule>
  </conditionalFormatting>
  <conditionalFormatting sqref="B89 G89">
    <cfRule type="expression" dxfId="4" priority="10">
      <formula>EVEN(ROW())=(ROW())</formula>
    </cfRule>
  </conditionalFormatting>
  <conditionalFormatting sqref="B106 G106">
    <cfRule type="expression" dxfId="3" priority="11">
      <formula>ODD(ROW())=(ROW())</formula>
    </cfRule>
  </conditionalFormatting>
  <conditionalFormatting sqref="B106 G106">
    <cfRule type="expression" dxfId="4" priority="12">
      <formula>EVEN(ROW())=(ROW())</formula>
    </cfRule>
  </conditionalFormatting>
  <conditionalFormatting sqref="B123 G123">
    <cfRule type="expression" dxfId="3" priority="13">
      <formula>ODD(ROW())=(ROW())</formula>
    </cfRule>
  </conditionalFormatting>
  <conditionalFormatting sqref="B123 G123">
    <cfRule type="expression" dxfId="4" priority="14">
      <formula>EVEN(ROW())=(ROW())</formula>
    </cfRule>
  </conditionalFormatting>
  <conditionalFormatting sqref="B140 G140">
    <cfRule type="expression" dxfId="3" priority="15">
      <formula>ODD(ROW())=(ROW())</formula>
    </cfRule>
  </conditionalFormatting>
  <conditionalFormatting sqref="B140 G140">
    <cfRule type="expression" dxfId="4" priority="16">
      <formula>EVEN(ROW())=(ROW())</formula>
    </cfRule>
  </conditionalFormatting>
  <conditionalFormatting sqref="B157 G157">
    <cfRule type="expression" dxfId="3" priority="17">
      <formula>ODD(ROW())=(ROW())</formula>
    </cfRule>
  </conditionalFormatting>
  <conditionalFormatting sqref="B157 G157">
    <cfRule type="expression" dxfId="4" priority="18">
      <formula>EVEN(ROW())=(ROW())</formula>
    </cfRule>
  </conditionalFormatting>
  <conditionalFormatting sqref="B174 G174">
    <cfRule type="expression" dxfId="3" priority="19">
      <formula>ODD(ROW())=(ROW())</formula>
    </cfRule>
  </conditionalFormatting>
  <conditionalFormatting sqref="B174 G174">
    <cfRule type="expression" dxfId="4" priority="20">
      <formula>EVEN(ROW())=(ROW())</formula>
    </cfRule>
  </conditionalFormatting>
  <conditionalFormatting sqref="B191 G191">
    <cfRule type="expression" dxfId="3" priority="21">
      <formula>ODD(ROW())=(ROW())</formula>
    </cfRule>
  </conditionalFormatting>
  <conditionalFormatting sqref="B191 G191">
    <cfRule type="expression" dxfId="4" priority="22">
      <formula>EVEN(ROW())=(ROW())</formula>
    </cfRule>
  </conditionalFormatting>
  <conditionalFormatting sqref="B208 G208">
    <cfRule type="expression" dxfId="3" priority="23">
      <formula>ODD(ROW())=(ROW())</formula>
    </cfRule>
  </conditionalFormatting>
  <conditionalFormatting sqref="B208 G208">
    <cfRule type="expression" dxfId="4" priority="24">
      <formula>EVEN(ROW())=(ROW())</formula>
    </cfRule>
  </conditionalFormatting>
  <conditionalFormatting sqref="B6:G20 B23:B38 C23:F37 G23:G38 B40:G54 B57:G71 B74:G88 B91:G105 B108:G122 B125:G139 B142:G156 B159:G173 B176:G190 B193:G207">
    <cfRule type="expression" dxfId="3" priority="25">
      <formula>ODD(ROW())=(ROW())</formula>
    </cfRule>
  </conditionalFormatting>
  <conditionalFormatting sqref="B6:G20 B23:B38 C23:F37 G23:G38 B40:G54 B57:G71 B74:G88 B91:G105 B108:G122 B125:G139 B142:G156 B159:G173 B176:G190 B193:G207">
    <cfRule type="expression" dxfId="4" priority="26">
      <formula>EVEN(ROW())=(ROW())</formula>
    </cfRule>
  </conditionalFormatting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2014-02-06T19:44:29Z</dcterms:created>
  <dc:creator>Paulo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0x0101009E4E5595921651458DCB0427639B09DF</vt:lpwstr>
  </property>
  <property fmtid="{D5CDD505-2E9C-101B-9397-08002B2CF9AE}" pid="3" name="Order">
    <vt:r8>400.0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